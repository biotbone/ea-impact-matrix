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0 Read Me" sheetId="1" state="visible" r:id="rId3"/>
    <sheet name="01 Scoring Model" sheetId="2" state="visible" r:id="rId4"/>
    <sheet name="02 Portfolio Summary" sheetId="3" state="visible" r:id="rId5"/>
    <sheet name="03 Sequencing" sheetId="4" state="visible" r:id="rId6"/>
    <sheet name="04 Risk Register" sheetId="5" state="visible" r:id="rId7"/>
    <sheet name="05 Open Questions" sheetId="6" state="visible" r:id="rId8"/>
    <sheet name="06 Savings Case" sheetId="7" state="visible" r:id="rId9"/>
    <sheet name="07 Decision Log" sheetId="8" state="visible" r:id="rId10"/>
    <sheet name="P1" sheetId="9" state="visible" r:id="rId11"/>
    <sheet name="P2" sheetId="10" state="visible" r:id="rId12"/>
    <sheet name="P3" sheetId="11" state="visible" r:id="rId13"/>
    <sheet name="P4" sheetId="12" state="visible" r:id="rId14"/>
    <sheet name="P5" sheetId="13" state="visible" r:id="rId15"/>
    <sheet name="P6" sheetId="14" state="visible" r:id="rId16"/>
    <sheet name="P7" sheetId="15" state="visible" r:id="rId17"/>
    <sheet name="P8"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<sst xmlns="http://schemas.openxmlformats.org/spreadsheetml/2006/main" count="1467" uniqueCount="514">
  <si>
    <t xml:space="preserve">Enterprise Architecture Project Impact Matrix</t>
  </si>
  <si>
    <t xml:space="preserve">&lt;client or portfolio name&gt;  |  Version 1.0  |  &lt;date&gt;</t>
  </si>
  <si>
    <t xml:space="preserve">Purpose</t>
  </si>
  <si>
    <t xml:space="preserve">Scores each proposed initiative on a consistent set of weighted dimensions so that sequencing and funding decisions can be defended in an EA forum.</t>
  </si>
  <si>
    <t xml:space="preserve">Replace this text with the specific purpose for this engagement.</t>
  </si>
  <si>
    <t xml:space="preserve">Every score is a starting position for review, not a decision.</t>
  </si>
  <si>
    <t xml:space="preserve">Sheets</t>
  </si>
  <si>
    <t xml:space="preserve">Sheet</t>
  </si>
  <si>
    <t xml:space="preserve">What it is for</t>
  </si>
  <si>
    <t xml:space="preserve">Who maintains it</t>
  </si>
  <si>
    <t xml:space="preserve">Update cadence</t>
  </si>
  <si>
    <t xml:space="preserve">01 Scoring Model</t>
  </si>
  <si>
    <t xml:space="preserve">Weights and the 1 to 5 anchors. Change a weight and every project score recalculates.</t>
  </si>
  <si>
    <t xml:space="preserve">Enterprise Architecture</t>
  </si>
  <si>
    <t xml:space="preserve">At each portfolio review</t>
  </si>
  <si>
    <t xml:space="preserve">02 Portfolio Summary</t>
  </si>
  <si>
    <t xml:space="preserve">Roll-up with weighted score, rank, cost and score per $100k. The board view.</t>
  </si>
  <si>
    <t xml:space="preserve">Automatic</t>
  </si>
  <si>
    <t xml:space="preserve">03 Sequencing</t>
  </si>
  <si>
    <t xml:space="preserve">Waves, cross-project dependencies, and resource contention.</t>
  </si>
  <si>
    <t xml:space="preserve">EA and Delivery</t>
  </si>
  <si>
    <t xml:space="preserve">04 Risk Register</t>
  </si>
  <si>
    <t xml:space="preserve">All project risks with likelihood, impact and mitigation.</t>
  </si>
  <si>
    <t xml:space="preserve">Fortnightly</t>
  </si>
  <si>
    <t xml:space="preserve">05 Open Questions</t>
  </si>
  <si>
    <t xml:space="preserve">What must be answered before approval, and the decision each blocks.</t>
  </si>
  <si>
    <t xml:space="preserve">Engagement lead</t>
  </si>
  <si>
    <t xml:space="preserve">Weekly until closed</t>
  </si>
  <si>
    <t xml:space="preserve">06 Savings Case</t>
  </si>
  <si>
    <t xml:space="preserve">Payback model. Fill the baseline and expected saving; payback calculates.</t>
  </si>
  <si>
    <t xml:space="preserve">FinOps and EA</t>
  </si>
  <si>
    <t xml:space="preserve">Monthly</t>
  </si>
  <si>
    <t xml:space="preserve">07 Decision Log</t>
  </si>
  <si>
    <t xml:space="preserve">What the forum decided, on what conditions, and who answers for it.</t>
  </si>
  <si>
    <t xml:space="preserve">After each forum</t>
  </si>
  <si>
    <t xml:space="preserve">P1 to P8</t>
  </si>
  <si>
    <t xml:space="preserve">One sheet per initiative. Delete the slots you do not use.</t>
  </si>
  <si>
    <t xml:space="preserve">Project architect</t>
  </si>
  <si>
    <t xml:space="preserve">Weekly during delivery</t>
  </si>
  <si>
    <t xml:space="preserve">Cell conventions</t>
  </si>
  <si>
    <t xml:space="preserve">Blue text</t>
  </si>
  <si>
    <t xml:space="preserve">Hardcoded input. Edit these.</t>
  </si>
  <si>
    <t xml:space="preserve">Green text</t>
  </si>
  <si>
    <t xml:space="preserve">Link pulled from another sheet. Do not overwrite.</t>
  </si>
  <si>
    <t xml:space="preserve">Black text</t>
  </si>
  <si>
    <t xml:space="preserve">Calculated. Do not overwrite.</t>
  </si>
  <si>
    <t xml:space="preserve">Yellow fill</t>
  </si>
  <si>
    <t xml:space="preserve">Information still owed. These are the gaps that block approval.</t>
  </si>
  <si>
    <t xml:space="preserve">Rules that keep this useful</t>
  </si>
  <si>
    <t xml:space="preserve">Never give two initiatives the same score profile. If they score the same on every dimension, the matrix cannot rank them and has no decision value. This is the single most common failure mode.</t>
  </si>
  <si>
    <t xml:space="preserve">Score against evidence, and cite the source document and section in the evidence column. A score of 3 with a named source beats a score of 5 with none.</t>
  </si>
  <si>
    <t xml:space="preserve">Where no evidence exists, score conservatively and log the gap on '05 Open Questions'. Do not guess upward.</t>
  </si>
  <si>
    <t xml:space="preserve">A score can be deliberately low where a proposal is weaker than it claims. Those are the most valuable cells in the workbook.</t>
  </si>
  <si>
    <t xml:space="preserve">Set the weights to the prioritization lens the sponsor confirms, before scoring. Do not score first and pick the lens that gives the answer you wanted.</t>
  </si>
  <si>
    <t xml:space="preserve">Owners are people, not roles. 'Security' does not approve anything; a named individual does.</t>
  </si>
  <si>
    <t xml:space="preserve">Governance record</t>
  </si>
  <si>
    <t xml:space="preserve">Prioritization lens</t>
  </si>
  <si>
    <t xml:space="preserve">balanced</t>
  </si>
  <si>
    <t xml:space="preserve">Confirmed with the sponsor before scoring.</t>
  </si>
  <si>
    <t xml:space="preserve">Lens agreed by (named)</t>
  </si>
  <si>
    <t xml:space="preserve">A. Example, VP Operations</t>
  </si>
  <si>
    <t xml:space="preserve">The person who accepted these weights.</t>
  </si>
  <si>
    <t xml:space="preserve">Lens agreed on</t>
  </si>
  <si>
    <t xml:space="preserve">2026-01-15</t>
  </si>
  <si>
    <t xml:space="preserve">Risk appetite</t>
  </si>
  <si>
    <t xml:space="preserve">No red risk without a named owner and a review date.</t>
  </si>
  <si>
    <t xml:space="preserve">Red risks start at a score of 9.</t>
  </si>
  <si>
    <t xml:space="preserve">Next review</t>
  </si>
  <si>
    <t xml:space="preserve">2026-04-15</t>
  </si>
  <si>
    <t xml:space="preserve">Re-score on a material change, or on this date.</t>
  </si>
  <si>
    <t xml:space="preserve">Terms follow TOGAF and COBIT: an initiative is a work package, a wave is a transition architecture. See references/standards-mapping.md.</t>
  </si>
  <si>
    <t xml:space="preserve">Document coverage</t>
  </si>
  <si>
    <t xml:space="preserve">Document</t>
  </si>
  <si>
    <t xml:space="preserve">What it feeds in this workbook</t>
  </si>
  <si>
    <t xml:space="preserve">Level</t>
  </si>
  <si>
    <t xml:space="preserve">Coverage</t>
  </si>
  <si>
    <t xml:space="preserve">Proposal, business case or statement of work (PROPOSAL)</t>
  </si>
  <si>
    <t xml:space="preserve">Project profile (name, sponsor, scope, deadline, status, basis); Business value and Cost assessments; the questions the proposal asks the client go to 05 Open Questions</t>
  </si>
  <si>
    <t xml:space="preserve">Required, each initiative</t>
  </si>
  <si>
    <t xml:space="preserve">Received for all scored initiatives</t>
  </si>
  <si>
    <t xml:space="preserve">Cost and effort estimate: line items, hours by role, duration (ESTIMATE)</t>
  </si>
  <si>
    <t xml:space="preserve">Cost and duration cells, score per $100k on 02 Portfolio Summary, capacity on 03 Sequencing, Delivery confidence</t>
  </si>
  <si>
    <t xml:space="preserve">Target-state architecture, principles and strategy (TARGET_STATE)</t>
  </si>
  <si>
    <t xml:space="preserve">Strategic alignment score, section 9 (capability, principles, gap closed), gates 1 and 2</t>
  </si>
  <si>
    <t xml:space="preserve">Required, portfolio</t>
  </si>
  <si>
    <t xml:space="preserve">Received</t>
  </si>
  <si>
    <t xml:space="preserve">Sponsor confirmation of the prioritization lens (email or minutes) (LENS)</t>
  </si>
  <si>
    <t xml:space="preserve">01 Scoring Model weights, Governance record on the Read Me (who agreed the lens, and when)</t>
  </si>
  <si>
    <t xml:space="preserve">Funding envelope or budget statement, or a written 'not yet defined' (FUNDING)</t>
  </si>
  <si>
    <t xml:space="preserve">03 Sequencing (waves as approval tranches), Delivery confidence weighting</t>
  </si>
  <si>
    <t xml:space="preserve">Current-state architecture or inventory of the affected systems (CURRENT_STATE)</t>
  </si>
  <si>
    <t xml:space="preserve">Dependencies, section 9 (gap closed), Risk reduction</t>
  </si>
  <si>
    <t xml:space="preserve">Recommended, portfolio</t>
  </si>
  <si>
    <t xml:space="preserve">Not provided</t>
  </si>
  <si>
    <t xml:space="preserve">Current run-cost baseline: cost export, invoices, licence list (COST_BASELINE)</t>
  </si>
  <si>
    <t xml:space="preserve">06 Savings Case, KPI baselines, Cost optimization score</t>
  </si>
  <si>
    <t xml:space="preserve">Recommended, each initiative or portfolio</t>
  </si>
  <si>
    <t xml:space="preserve">Incident, risk and audit history (INCIDENTS)</t>
  </si>
  <si>
    <t xml:space="preserve">Risk reduction and Time criticality scores, 04 Risk Register</t>
  </si>
  <si>
    <t xml:space="preserve">Security and compliance requirements, findings and review status (SECURITY)</t>
  </si>
  <si>
    <t xml:space="preserve">Security and compliance score, gates 3 and 8</t>
  </si>
  <si>
    <t xml:space="preserve">Recommended, each initiative</t>
  </si>
  <si>
    <t xml:space="preserve">Ownership and support model: named people, RACI, org chart (OWNERSHIP)</t>
  </si>
  <si>
    <t xml:space="preserve">Sponsor, architecture owner, delivery owner, benefits owner, gate 4</t>
  </si>
  <si>
    <t xml:space="preserve">Resource and capacity plan: named roles and availability (CAPACITY)</t>
  </si>
  <si>
    <t xml:space="preserve">Capacity table on 03 Sequencing, Delivery confidence</t>
  </si>
  <si>
    <t xml:space="preserve">Vendor contracts, licences and renewal dates (CONTRACTS)</t>
  </si>
  <si>
    <t xml:space="preserve">Time criticality, hard deadlines, consumption-billed dependencies</t>
  </si>
  <si>
    <t xml:space="preserve">Earlier matrices, ADRs and forum decisions (PRIOR_DECISIONS)</t>
  </si>
  <si>
    <t xml:space="preserve">Consistency of scores, 07 Decision Log, gate 10</t>
  </si>
  <si>
    <t xml:space="preserve">Optional, portfolio</t>
  </si>
  <si>
    <t xml:space="preserve">Document register</t>
  </si>
  <si>
    <t xml:space="preserve">Type and initiative</t>
  </si>
  <si>
    <t xml:space="preserve">Document and provider</t>
  </si>
  <si>
    <t xml:space="preserve">Version or date</t>
  </si>
  <si>
    <t xml:space="preserve">Status</t>
  </si>
  <si>
    <t xml:space="preserve">PROPOSAL / P1</t>
  </si>
  <si>
    <t xml:space="preserve">Proposal deck, event streaming for the customer feed (A. Example)</t>
  </si>
  <si>
    <t xml:space="preserve">v3, 2026-01-08</t>
  </si>
  <si>
    <t xml:space="preserve">ESTIMATE / P1</t>
  </si>
  <si>
    <t xml:space="preserve">Cost and effort estimate, deck slide 14 (A. Example)</t>
  </si>
  <si>
    <t xml:space="preserve">TARGET_STATE / ALL</t>
  </si>
  <si>
    <t xml:space="preserve">Target-state architecture, section 3 (B. Example)</t>
  </si>
  <si>
    <t xml:space="preserve">v2, 2025-11-20</t>
  </si>
  <si>
    <t xml:space="preserve">LENS / ALL</t>
  </si>
  <si>
    <t xml:space="preserve">Sponsor email confirming the balanced lens (A. Example)</t>
  </si>
  <si>
    <t xml:space="preserve">FUNDING / ALL</t>
  </si>
  <si>
    <t xml:space="preserve">Funding envelope not yet defined, confirmed in writing (C. Example)</t>
  </si>
  <si>
    <t xml:space="preserve">INCIDENTS / ALL</t>
  </si>
  <si>
    <t xml:space="preserve">Batch failure log, January to June (Platform Team)</t>
  </si>
  <si>
    <t xml:space="preserve">2026-07-01</t>
  </si>
  <si>
    <t xml:space="preserve">COST_BASELINE / P1</t>
  </si>
  <si>
    <t xml:space="preserve">Run-cost export for the batch VM and storage (FinOps)</t>
  </si>
  <si>
    <t xml:space="preserve">Requested</t>
  </si>
  <si>
    <t xml:space="preserve">Scoring model</t>
  </si>
  <si>
    <t xml:space="preserve">Lens: balanced. Changing a weight recalculates every project sheet and the summary.</t>
  </si>
  <si>
    <t xml:space="preserve">Weights</t>
  </si>
  <si>
    <t xml:space="preserve">Dimension</t>
  </si>
  <si>
    <t xml:space="preserve">Weight</t>
  </si>
  <si>
    <t xml:space="preserve">Rationale</t>
  </si>
  <si>
    <t xml:space="preserve">Business value</t>
  </si>
  <si>
    <t xml:space="preserve">Whether the initiative changes a business outcome, not just a technical one.</t>
  </si>
  <si>
    <t xml:space="preserve">Cost optimization and savings</t>
  </si>
  <si>
    <t xml:space="preserve">Direct savings and the ability to evidence savings. An unevidenced saving cannot be booked.</t>
  </si>
  <si>
    <t xml:space="preserve">Time criticality</t>
  </si>
  <si>
    <t xml:space="preserve">Deadlines, vendor retirements, and problems that cost something every month they wait.</t>
  </si>
  <si>
    <t xml:space="preserve">Risk reduction and resilience</t>
  </si>
  <si>
    <t xml:space="preserve">Reduction in incident frequency, blast radius, or single points of failure.</t>
  </si>
  <si>
    <t xml:space="preserve">Security and compliance</t>
  </si>
  <si>
    <t xml:space="preserve">Net change in security posture. This can be negative.</t>
  </si>
  <si>
    <t xml:space="preserve">Delivery confidence</t>
  </si>
  <si>
    <t xml:space="preserve">Confidence the work lands on time and scope. Low confidence discounts a high score.</t>
  </si>
  <si>
    <t xml:space="preserve">Strategic and architecture alignment</t>
  </si>
  <si>
    <t xml:space="preserve">Whether it advances a target-state standard or is purely tactical.</t>
  </si>
  <si>
    <t xml:space="preserve">Total</t>
  </si>
  <si>
    <t xml:space="preserve">Must equal 100 percent.</t>
  </si>
  <si>
    <t xml:space="preserve">Lens presets</t>
  </si>
  <si>
    <t xml:space="preserve">Preset</t>
  </si>
  <si>
    <t xml:space="preserve">run_cost</t>
  </si>
  <si>
    <t xml:space="preserve">deadline_risk</t>
  </si>
  <si>
    <t xml:space="preserve">delivery_speed</t>
  </si>
  <si>
    <t xml:space="preserve">security</t>
  </si>
  <si>
    <t xml:space="preserve">Copy a preset row into B6:B12 to switch lens. Confirm the lens with the sponsor before scoring, not after.</t>
  </si>
  <si>
    <t xml:space="preserve">Score anchors, 1 to 5</t>
  </si>
  <si>
    <t xml:space="preserve">1</t>
  </si>
  <si>
    <t xml:space="preserve">2</t>
  </si>
  <si>
    <t xml:space="preserve">3</t>
  </si>
  <si>
    <t xml:space="preserve">4</t>
  </si>
  <si>
    <t xml:space="preserve">5</t>
  </si>
  <si>
    <t xml:space="preserve">No measurable business outcome; internal convenience only.</t>
  </si>
  <si>
    <t xml:space="preserve">Efficiency gain for one team, no quantified baseline.</t>
  </si>
  <si>
    <t xml:space="preserve">Quantified efficiency or quality gain for a defined process.</t>
  </si>
  <si>
    <t xml:space="preserve">Removes a live operational blind spot or unlocks decisions across teams.</t>
  </si>
  <si>
    <t xml:space="preserve">Direct revenue, contractual, or client-facing outcome.</t>
  </si>
  <si>
    <t xml:space="preserve">No savings; adds run cost.</t>
  </si>
  <si>
    <t xml:space="preserve">Soft labour savings only, not booked.</t>
  </si>
  <si>
    <t xml:space="preserve">Modest run-cost reduction, single digit percent of the affected spend.</t>
  </si>
  <si>
    <t xml:space="preserve">Material and measurable reduction, or a direct enabler of one.</t>
  </si>
  <si>
    <t xml:space="preserve">Primary purpose is cost reduction with a named savings target.</t>
  </si>
  <si>
    <t xml:space="preserve">No deadline. Can slip a year with no consequence.</t>
  </si>
  <si>
    <t xml:space="preserve">Preferable this year, no consequence if deferred.</t>
  </si>
  <si>
    <t xml:space="preserve">A live problem is costing time or risk every month it waits.</t>
  </si>
  <si>
    <t xml:space="preserve">Dependency window or vendor change makes deferral expensive.</t>
  </si>
  <si>
    <t xml:space="preserve">Hard external deadline or an already unsupported component.</t>
  </si>
  <si>
    <t xml:space="preserve">No change to risk posture.</t>
  </si>
  <si>
    <t xml:space="preserve">Marginal improvement.</t>
  </si>
  <si>
    <t xml:space="preserve">Reduces the frequency or blast radius of a known failure mode.</t>
  </si>
  <si>
    <t xml:space="preserve">Removes a recurring incident cause or restores a lost safety net.</t>
  </si>
  <si>
    <t xml:space="preserve">Removes a single point of failure with client-visible consequences.</t>
  </si>
  <si>
    <t xml:space="preserve">Increases attack surface with no offsetting control.</t>
  </si>
  <si>
    <t xml:space="preserve">Net neutral, or new surface offset by new controls.</t>
  </si>
  <si>
    <t xml:space="preserve">Minor control improvement.</t>
  </si>
  <si>
    <t xml:space="preserve">Removes standing credentials, adds auditability or least privilege.</t>
  </si>
  <si>
    <t xml:space="preserve">Closes an audit or regulatory finding.</t>
  </si>
  <si>
    <t xml:space="preserve">Novel, undefined scope, unproven pattern, external dependency.</t>
  </si>
  <si>
    <t xml:space="preserve">Large scope with material unknowns.</t>
  </si>
  <si>
    <t xml:space="preserve">Well understood work with normal coordination overhead.</t>
  </si>
  <si>
    <t xml:space="preserve">Proven pattern already running elsewhere in the estate.</t>
  </si>
  <si>
    <t xml:space="preserve">Small, bounded, single team, reversible in hours.</t>
  </si>
  <si>
    <t xml:space="preserve">Conflicts with target-state architecture.</t>
  </si>
  <si>
    <t xml:space="preserve">Tactical, creates no reusable asset.</t>
  </si>
  <si>
    <t xml:space="preserve">Consistent with standards, no reuse beyond itself.</t>
  </si>
  <si>
    <t xml:space="preserve">Advances a target-state standard reusable by other workloads.</t>
  </si>
  <si>
    <t xml:space="preserve">Establishes or completes an enterprise standard.</t>
  </si>
  <si>
    <t xml:space="preserve">Portfolio summary</t>
  </si>
  <si>
    <t xml:space="preserve">Everything pulls from the project sheets. Weights come from '01 Scoring Model'.</t>
  </si>
  <si>
    <t xml:space="preserve">Ranked portfolio</t>
  </si>
  <si>
    <t xml:space="preserve">ID</t>
  </si>
  <si>
    <t xml:space="preserve">Project</t>
  </si>
  <si>
    <t xml:space="preserve">Estimated cost (USD)</t>
  </si>
  <si>
    <t xml:space="preserve">Duration (months)</t>
  </si>
  <si>
    <t xml:space="preserve">Weighted score</t>
  </si>
  <si>
    <t xml:space="preserve">Rank</t>
  </si>
  <si>
    <t xml:space="preserve">Score per $100k</t>
  </si>
  <si>
    <t xml:space="preserve">Cost optimization</t>
  </si>
  <si>
    <t xml:space="preserve">Recommended wave</t>
  </si>
  <si>
    <t xml:space="preserve">P1</t>
  </si>
  <si>
    <t xml:space="preserve">P2</t>
  </si>
  <si>
    <t xml:space="preserve">P3</t>
  </si>
  <si>
    <t xml:space="preserve">P4</t>
  </si>
  <si>
    <t xml:space="preserve">P5</t>
  </si>
  <si>
    <t xml:space="preserve">P6</t>
  </si>
  <si>
    <t xml:space="preserve">P7</t>
  </si>
  <si>
    <t xml:space="preserve">P8</t>
  </si>
  <si>
    <t xml:space="preserve">Portfolio</t>
  </si>
  <si>
    <t xml:space="preserve">How to read this</t>
  </si>
  <si>
    <t xml:space="preserve">Weighted score answers how much this matters. Score per $100k answers how much we get for the money.</t>
  </si>
  <si>
    <t xml:space="preserve">Replace these lines with the specific reading for this portfolio, naming initiatives.</t>
  </si>
  <si>
    <t xml:space="preserve">Sequencing, dependencies and capacity</t>
  </si>
  <si>
    <t xml:space="preserve">Recommended delivery order and the constraints that shape it</t>
  </si>
  <si>
    <t xml:space="preserve">Recommended waves</t>
  </si>
  <si>
    <t xml:space="preserve">Wave</t>
  </si>
  <si>
    <t xml:space="preserve">Projects</t>
  </si>
  <si>
    <t xml:space="preserve">Indicative window</t>
  </si>
  <si>
    <t xml:space="preserve">Cost (USD)</t>
  </si>
  <si>
    <t xml:space="preserve">Why this grouping</t>
  </si>
  <si>
    <t xml:space="preserve">Entry condition</t>
  </si>
  <si>
    <t xml:space="preserve">Wave 1</t>
  </si>
  <si>
    <t xml:space="preserve">&lt;initiatives&gt;</t>
  </si>
  <si>
    <t xml:space="preserve">&lt;window&gt;</t>
  </si>
  <si>
    <t xml:space="preserve">&lt;why this grouping&gt;</t>
  </si>
  <si>
    <t xml:space="preserve">&lt;entry condition&gt;</t>
  </si>
  <si>
    <t xml:space="preserve">Wave 2</t>
  </si>
  <si>
    <t xml:space="preserve">Wave 3</t>
  </si>
  <si>
    <t xml:space="preserve">Hold</t>
  </si>
  <si>
    <t xml:space="preserve">Not scheduled</t>
  </si>
  <si>
    <t xml:space="preserve">&lt;why held rather than dropped&gt;</t>
  </si>
  <si>
    <t xml:space="preserve">&lt;what would unhold it&gt;</t>
  </si>
  <si>
    <t xml:space="preserve">Cross-project dependencies</t>
  </si>
  <si>
    <t xml:space="preserve">From</t>
  </si>
  <si>
    <t xml:space="preserve">To</t>
  </si>
  <si>
    <t xml:space="preserve">Type</t>
  </si>
  <si>
    <t xml:space="preserve">Strength</t>
  </si>
  <si>
    <t xml:space="preserve">What it means for sequencing</t>
  </si>
  <si>
    <t xml:space="preserve">Owner</t>
  </si>
  <si>
    <t xml:space="preserve">Resource contention</t>
  </si>
  <si>
    <t xml:space="preserve">Role</t>
  </si>
  <si>
    <t xml:space="preserve">Committed across the portfolio</t>
  </si>
  <si>
    <t xml:space="preserve">Peak concurrent demand</t>
  </si>
  <si>
    <t xml:space="preserve">Constraint</t>
  </si>
  <si>
    <t xml:space="preserve">Solutions Architect</t>
  </si>
  <si>
    <t xml:space="preserve">DevOps / Platform Engineer</t>
  </si>
  <si>
    <t xml:space="preserve">Project Manager</t>
  </si>
  <si>
    <t xml:space="preserve">FinOps</t>
  </si>
  <si>
    <t xml:space="preserve">Consolidated risk register</t>
  </si>
  <si>
    <t xml:space="preserve">All project risks, ranked by initial likelihood times impact</t>
  </si>
  <si>
    <t xml:space="preserve">Risks across the portfolio</t>
  </si>
  <si>
    <t xml:space="preserve">Risk</t>
  </si>
  <si>
    <t xml:space="preserve">Likelihood</t>
  </si>
  <si>
    <t xml:space="preserve">Impact</t>
  </si>
  <si>
    <t xml:space="preserve">Score</t>
  </si>
  <si>
    <t xml:space="preserve">Mitigation</t>
  </si>
  <si>
    <t xml:space="preserve">Response</t>
  </si>
  <si>
    <t xml:space="preserve">Residual</t>
  </si>
  <si>
    <t xml:space="preserve">R01</t>
  </si>
  <si>
    <t xml:space="preserve">Duplicate or lost records during parallel run</t>
  </si>
  <si>
    <t xml:space="preserve">Medium</t>
  </si>
  <si>
    <t xml:space="preserve">Critical</t>
  </si>
  <si>
    <t xml:space="preserve">Run both paths against a shadow consumer group and reconcile record counts daily before cutover.</t>
  </si>
  <si>
    <t xml:space="preserve">Architecture</t>
  </si>
  <si>
    <t xml:space="preserve">Mitigate</t>
  </si>
  <si>
    <t xml:space="preserve">R02</t>
  </si>
  <si>
    <t xml:space="preserve">Event Hubs throughput unit cost not modelled</t>
  </si>
  <si>
    <t xml:space="preserve">High</t>
  </si>
  <si>
    <t xml:space="preserve">Model expected events per second against the pricing tier before committing.</t>
  </si>
  <si>
    <t xml:space="preserve">R03</t>
  </si>
  <si>
    <t xml:space="preserve">Downstream consumers assume a nightly batch boundary</t>
  </si>
  <si>
    <t xml:space="preserve">Survey each consumer for time-window assumptions during design.</t>
  </si>
  <si>
    <t xml:space="preserve">PM</t>
  </si>
  <si>
    <t xml:space="preserve">R04</t>
  </si>
  <si>
    <t xml:space="preserve">Batch VM decommission deferred indefinitely, so no saving lands</t>
  </si>
  <si>
    <t xml:space="preserve">Make the decommission a named deliverable with a date, not a follow-up.</t>
  </si>
  <si>
    <t xml:space="preserve">Delivery lead</t>
  </si>
  <si>
    <t xml:space="preserve">Score is likelihood times impact, each 1 to 4 (Low, Medium, High, Critical). Red at 9 or above, amber from 6. Every red risk needs a named owner and a review date before its project is approved. Response is Mitigate, Accept, Transfer or Avoid. Residual is the score once the mitigation is in place.</t>
  </si>
  <si>
    <t xml:space="preserve">Open questions and information gaps</t>
  </si>
  <si>
    <t xml:space="preserve">What is still owed, and the decision each answer unblocks</t>
  </si>
  <si>
    <t xml:space="preserve">Blocking questions, in priority order</t>
  </si>
  <si>
    <t xml:space="preserve">Area</t>
  </si>
  <si>
    <t xml:space="preserve">Question</t>
  </si>
  <si>
    <t xml:space="preserve">Why it matters and what it unblocks</t>
  </si>
  <si>
    <t xml:space="preserve">Owner to answer</t>
  </si>
  <si>
    <t xml:space="preserve">Q01</t>
  </si>
  <si>
    <t xml:space="preserve">Open</t>
  </si>
  <si>
    <t xml:space="preserve">Q02</t>
  </si>
  <si>
    <t xml:space="preserve">Q03</t>
  </si>
  <si>
    <t xml:space="preserve">Q04</t>
  </si>
  <si>
    <t xml:space="preserve">Q05</t>
  </si>
  <si>
    <t xml:space="preserve">Q06</t>
  </si>
  <si>
    <t xml:space="preserve">Q07</t>
  </si>
  <si>
    <t xml:space="preserve">Q08</t>
  </si>
  <si>
    <t xml:space="preserve">Q09</t>
  </si>
  <si>
    <t xml:space="preserve">Q10</t>
  </si>
  <si>
    <t xml:space="preserve">Q11</t>
  </si>
  <si>
    <t xml:space="preserve">Q12</t>
  </si>
  <si>
    <t xml:space="preserve">Q13</t>
  </si>
  <si>
    <t xml:space="preserve">Q14</t>
  </si>
  <si>
    <t xml:space="preserve">Savings case and payback</t>
  </si>
  <si>
    <t xml:space="preserve">Yellow cells are the inputs still owed. Everything else calculates.</t>
  </si>
  <si>
    <t xml:space="preserve">Payback model</t>
  </si>
  <si>
    <t xml:space="preserve">Build cost (USD)</t>
  </si>
  <si>
    <t xml:space="preserve">Current annual run cost (USD)</t>
  </si>
  <si>
    <t xml:space="preserve">Expected annual saving (USD)</t>
  </si>
  <si>
    <t xml:space="preserve">Saving %</t>
  </si>
  <si>
    <t xml:space="preserve">Payback (months)</t>
  </si>
  <si>
    <t xml:space="preserve">Evidence position</t>
  </si>
  <si>
    <t xml:space="preserve">EXAMPLE. Fill D and E once the baseline arrives. Payback calculates.</t>
  </si>
  <si>
    <t xml:space="preserve">Columns D and E are the only inputs. An initiative that is a pure enabler should show zero expected saving and be argued on the grounds that it makes the other rows provable.</t>
  </si>
  <si>
    <t xml:space="preserve">Decision log</t>
  </si>
  <si>
    <t xml:space="preserve">What the forum decided, on what conditions, and who answers for it</t>
  </si>
  <si>
    <t xml:space="preserve">Decisions</t>
  </si>
  <si>
    <t xml:space="preserve">Ref</t>
  </si>
  <si>
    <t xml:space="preserve">Decision</t>
  </si>
  <si>
    <t xml:space="preserve">Conditions and rationale</t>
  </si>
  <si>
    <t xml:space="preserve">Decided by (named)</t>
  </si>
  <si>
    <t xml:space="preserve">Date</t>
  </si>
  <si>
    <t xml:space="preserve">Reference (ADR or minutes)</t>
  </si>
  <si>
    <t xml:space="preserve">Decisions: Approved, Approved with conditions, Deferred, Held, Rejected. A deferred or held initiative states what would change the decision. The scores recommend; this sheet records what was decided.</t>
  </si>
  <si>
    <t xml:space="preserve">P1.  EXAMPLE  Replace nightly batch export with event streaming</t>
  </si>
  <si>
    <t xml:space="preserve">Enterprise Architecture Impact Matrix</t>
  </si>
  <si>
    <t xml:space="preserve">1.  Project profile</t>
  </si>
  <si>
    <t xml:space="preserve">Project ID</t>
  </si>
  <si>
    <t xml:space="preserve">Project name</t>
  </si>
  <si>
    <t xml:space="preserve">EXAMPLE  Replace nightly batch export with event streaming</t>
  </si>
  <si>
    <t xml:space="preserve">Pulled by '02 Portfolio Summary'. Keep it in this cell.</t>
  </si>
  <si>
    <t xml:space="preserve">Business sponsor</t>
  </si>
  <si>
    <t xml:space="preserve">Named individual required before EA approval.</t>
  </si>
  <si>
    <t xml:space="preserve">Architecture owner</t>
  </si>
  <si>
    <t xml:space="preserve">B. Example, Cloud Architect</t>
  </si>
  <si>
    <t xml:space="preserve">Delivery owner</t>
  </si>
  <si>
    <t xml:space="preserve">C. Example, Delivery Lead</t>
  </si>
  <si>
    <t xml:space="preserve">Proposal deck slide 14. Line items sum correctly.</t>
  </si>
  <si>
    <t xml:space="preserve">Estimated duration (months)</t>
  </si>
  <si>
    <t xml:space="preserve">3 months, two engineers plus part-time architect.</t>
  </si>
  <si>
    <t xml:space="preserve">Hard external deadline</t>
  </si>
  <si>
    <t xml:space="preserve">None contractual. The nightly window is already overrunning twice a week.</t>
  </si>
  <si>
    <t xml:space="preserve">Current status</t>
  </si>
  <si>
    <t xml:space="preserve">Proposed, awaiting approval</t>
  </si>
  <si>
    <t xml:space="preserve">See '03 Sequencing'.</t>
  </si>
  <si>
    <t xml:space="preserve">Basis of estimate</t>
  </si>
  <si>
    <t xml:space="preserve">Proposal deck slides 6 and 14; batch failure log Jan to Jun 2026.</t>
  </si>
  <si>
    <t xml:space="preserve">Cite the document and slide or section.</t>
  </si>
  <si>
    <t xml:space="preserve">2.  Weighted impact assessment</t>
  </si>
  <si>
    <t xml:space="preserve">Enter 1 to 5 in column B. Anchors are on '01 Scoring Model'. Column C is a link; do not edit it.</t>
  </si>
  <si>
    <t xml:space="preserve">Score (1-5)</t>
  </si>
  <si>
    <t xml:space="preserve">Weighted</t>
  </si>
  <si>
    <t xml:space="preserve">Assessment</t>
  </si>
  <si>
    <t xml:space="preserve">Evidence and basis</t>
  </si>
  <si>
    <t xml:space="preserve">Downstream teams currently wait until 06:00 for data that is generated continuously. Removing the wait changes when decisions can be made, not just how fast a job runs.</t>
  </si>
  <si>
    <t xml:space="preserve">A. Example</t>
  </si>
  <si>
    <t xml:space="preserve">Deck slide 6; batch completion times Jan to Jun.</t>
  </si>
  <si>
    <t xml:space="preserve">Removes an always-on batch VM but adds Event Hubs throughput units. Net saving is real but modest and needs modelling before it is claimed.</t>
  </si>
  <si>
    <t xml:space="preserve">Deck slide 14. Throughput unit cost not in the estimate.</t>
  </si>
  <si>
    <t xml:space="preserve">No deadline, but the nightly window overruns twice a week and the failure rate is trending up.</t>
  </si>
  <si>
    <t xml:space="preserve">Platform Team</t>
  </si>
  <si>
    <t xml:space="preserve">Batch failure log Jan to Jun 2026.</t>
  </si>
  <si>
    <t xml:space="preserve">Removes a single nightly failure point that currently takes the whole downstream chain with it.</t>
  </si>
  <si>
    <t xml:space="preserve">Incident records, 6 occurrences in H1.</t>
  </si>
  <si>
    <t xml:space="preserve">Replaces a shared service account with managed identity. Modest control improvement.</t>
  </si>
  <si>
    <t xml:space="preserve">Security</t>
  </si>
  <si>
    <t xml:space="preserve">Current-state review, section 4.</t>
  </si>
  <si>
    <t xml:space="preserve">The same pattern is already in production for a smaller feed, so this reuses a proven design.</t>
  </si>
  <si>
    <t xml:space="preserve">Existing implementation on the orders feed.</t>
  </si>
  <si>
    <t xml:space="preserve">Advances the event-driven target state and creates a pattern other feeds can reuse.</t>
  </si>
  <si>
    <t xml:space="preserve">Target-state architecture, section 3.</t>
  </si>
  <si>
    <t xml:space="preserve">Weighted priority score</t>
  </si>
  <si>
    <t xml:space="preserve">Out of 5.00. Compare on '02 Portfolio Summary'.</t>
  </si>
  <si>
    <t xml:space="preserve">3.  Scope</t>
  </si>
  <si>
    <t xml:space="preserve">In scope</t>
  </si>
  <si>
    <t xml:space="preserve">Explicitly out of scope</t>
  </si>
  <si>
    <t xml:space="preserve">Event Hubs ingestion for the customer feed</t>
  </si>
  <si>
    <t xml:space="preserve">Other feeds beyond the customer feed</t>
  </si>
  <si>
    <t xml:space="preserve">Consumer rewrite with idempotent handling</t>
  </si>
  <si>
    <t xml:space="preserve">Downstream consumer redesign</t>
  </si>
  <si>
    <t xml:space="preserve">Parallel run against the existing batch</t>
  </si>
  <si>
    <t xml:space="preserve">Data model changes</t>
  </si>
  <si>
    <t xml:space="preserve">Runbook and alert updates</t>
  </si>
  <si>
    <t xml:space="preserve">Decommission of the batch VM (separate change)</t>
  </si>
  <si>
    <t xml:space="preserve">4.  Dependencies</t>
  </si>
  <si>
    <t xml:space="preserve">Depends on</t>
  </si>
  <si>
    <t xml:space="preserve">Nature of the dependency</t>
  </si>
  <si>
    <t xml:space="preserve">Criticality</t>
  </si>
  <si>
    <t xml:space="preserve">Platform</t>
  </si>
  <si>
    <t xml:space="preserve">Existing Event Hubs namespace</t>
  </si>
  <si>
    <t xml:space="preserve">Reuse, do not recreate. Upstream diagnostic settings point at it.</t>
  </si>
  <si>
    <t xml:space="preserve">Client team</t>
  </si>
  <si>
    <t xml:space="preserve">Downstream data owners</t>
  </si>
  <si>
    <t xml:space="preserve">They must confirm parity before the batch is switched off.</t>
  </si>
  <si>
    <t xml:space="preserve">Internal</t>
  </si>
  <si>
    <t xml:space="preserve">P2 Cost visibility work</t>
  </si>
  <si>
    <t xml:space="preserve">Supplies the run-cost baseline this project's saving is measured against.</t>
  </si>
  <si>
    <t xml:space="preserve">Resource</t>
  </si>
  <si>
    <t xml:space="preserve">Solutions Architect capacity</t>
  </si>
  <si>
    <t xml:space="preserve">Part time for 3 months. Check against other initiatives.</t>
  </si>
  <si>
    <t xml:space="preserve">5.  Key risks</t>
  </si>
  <si>
    <t xml:space="preserve">Response (residual score)</t>
  </si>
  <si>
    <t xml:space="preserve">Mitigate (residual 3)</t>
  </si>
  <si>
    <t xml:space="preserve">Mitigate (residual 2)</t>
  </si>
  <si>
    <t xml:space="preserve">Likelihood times impact, each 1 to 4 (Low, Medium, High, Critical). Red at 9 or above: needs a named owner and a review date. Optional 6th to 8th items per risk: response, residual likelihood, residual impact.</t>
  </si>
  <si>
    <t xml:space="preserve">6.  Success KPIs</t>
  </si>
  <si>
    <t xml:space="preserve">KPI</t>
  </si>
  <si>
    <t xml:space="preserve">Baseline</t>
  </si>
  <si>
    <t xml:space="preserve">Target</t>
  </si>
  <si>
    <t xml:space="preserve">Measurement source</t>
  </si>
  <si>
    <t xml:space="preserve">Measured by</t>
  </si>
  <si>
    <t xml:space="preserve">Data freshness, generation to availability</t>
  </si>
  <si>
    <t xml:space="preserve">8 hours (nightly)</t>
  </si>
  <si>
    <t xml:space="preserve">Under 5 minutes</t>
  </si>
  <si>
    <t xml:space="preserve">Pipeline telemetry</t>
  </si>
  <si>
    <t xml:space="preserve">30 days after cutover</t>
  </si>
  <si>
    <t xml:space="preserve">Failed nightly runs per month</t>
  </si>
  <si>
    <t xml:space="preserve">2.3 average H1 2026</t>
  </si>
  <si>
    <t xml:space="preserve">0</t>
  </si>
  <si>
    <t xml:space="preserve">Incident records</t>
  </si>
  <si>
    <t xml:space="preserve">90 days after cutover</t>
  </si>
  <si>
    <t xml:space="preserve">Monthly run cost for the feed</t>
  </si>
  <si>
    <t xml:space="preserve">TBC, batch VM plus storage</t>
  </si>
  <si>
    <t xml:space="preserve">Below baseline including throughput units</t>
  </si>
  <si>
    <t xml:space="preserve">Azure cost export</t>
  </si>
  <si>
    <t xml:space="preserve">60 days after cutover</t>
  </si>
  <si>
    <t xml:space="preserve">Record parity, new path versus batch</t>
  </si>
  <si>
    <t xml:space="preserve">Batch baseline</t>
  </si>
  <si>
    <t xml:space="preserve">100 percent during parallel run</t>
  </si>
  <si>
    <t xml:space="preserve">Reconciliation report</t>
  </si>
  <si>
    <t xml:space="preserve">During parallel run</t>
  </si>
  <si>
    <t xml:space="preserve">7.  EA governance gates</t>
  </si>
  <si>
    <t xml:space="preserve">Gate</t>
  </si>
  <si>
    <t xml:space="preserve">Evidence or artefact</t>
  </si>
  <si>
    <t xml:space="preserve">Reviewer</t>
  </si>
  <si>
    <t xml:space="preserve">Date cleared</t>
  </si>
  <si>
    <t xml:space="preserve">Alignment with a named business capability</t>
  </si>
  <si>
    <t xml:space="preserve">Met</t>
  </si>
  <si>
    <t xml:space="preserve">Target-state architecture section 3</t>
  </si>
  <si>
    <t xml:space="preserve">B. Example</t>
  </si>
  <si>
    <t xml:space="preserve">Architecture standards compliance</t>
  </si>
  <si>
    <t xml:space="preserve">Reuses the orders feed pattern</t>
  </si>
  <si>
    <t xml:space="preserve">Security review completed</t>
  </si>
  <si>
    <t xml:space="preserve">Partial</t>
  </si>
  <si>
    <t xml:space="preserve">Managed identity designed, formal review not recorded</t>
  </si>
  <si>
    <t xml:space="preserve">Operational ownership defined (named team, not a role)</t>
  </si>
  <si>
    <t xml:space="preserve">Not started</t>
  </si>
  <si>
    <t xml:space="preserve">Ownership after handover undefined</t>
  </si>
  <si>
    <t xml:space="preserve">Success KPIs agreed with a measured baseline</t>
  </si>
  <si>
    <t xml:space="preserve">KPIs defined; run-cost baseline outstanding</t>
  </si>
  <si>
    <t xml:space="preserve">Rollback strategy documented and tested</t>
  </si>
  <si>
    <t xml:space="preserve">Batch path retained until parallel run passes</t>
  </si>
  <si>
    <t xml:space="preserve">Cost model and payback agreed with FinOps</t>
  </si>
  <si>
    <t xml:space="preserve">Not met</t>
  </si>
  <si>
    <t xml:space="preserve">Throughput unit cost not modelled</t>
  </si>
  <si>
    <t xml:space="preserve">Data, retention and privacy position cleared</t>
  </si>
  <si>
    <t xml:space="preserve">Customer data classification</t>
  </si>
  <si>
    <t xml:space="preserve">Legal</t>
  </si>
  <si>
    <t xml:space="preserve">Change and CAB approval path confirmed</t>
  </si>
  <si>
    <t xml:space="preserve">Change window for cutover</t>
  </si>
  <si>
    <t xml:space="preserve">PMO</t>
  </si>
  <si>
    <t xml:space="preserve">Architecture decision recorded and traceable (ADR or decision log)</t>
  </si>
  <si>
    <t xml:space="preserve">ADR drafted, not yet accepted by the architecture board</t>
  </si>
  <si>
    <t xml:space="preserve">Valid statuses: Met, Partial, Not started, Not met, Not applicable.</t>
  </si>
  <si>
    <t xml:space="preserve">8.  Open questions</t>
  </si>
  <si>
    <t xml:space="preserve">Q1</t>
  </si>
  <si>
    <t xml:space="preserve">What is the current monthly run cost of the batch VM and its storage?</t>
  </si>
  <si>
    <t xml:space="preserve">Q2</t>
  </si>
  <si>
    <t xml:space="preserve">How many events per second at peak, so throughput units can be sized?</t>
  </si>
  <si>
    <t xml:space="preserve">Q3</t>
  </si>
  <si>
    <t xml:space="preserve">Which downstream consumers assume a nightly batch boundary?</t>
  </si>
  <si>
    <t xml:space="preserve">Q4</t>
  </si>
  <si>
    <t xml:space="preserve">Who owns the pipeline and its alerts after handover?</t>
  </si>
  <si>
    <t xml:space="preserve">Q5</t>
  </si>
  <si>
    <t xml:space="preserve">Can the batch VM decommission be a named deliverable with a date?</t>
  </si>
  <si>
    <t xml:space="preserve">9.  Traceability and benefits</t>
  </si>
  <si>
    <t xml:space="preserve">Business capability or value stream</t>
  </si>
  <si>
    <t xml:space="preserve">Customer data distribution (value stream: order to insight)</t>
  </si>
  <si>
    <t xml:space="preserve">Name the capability this changes. Gate 1 depends on it.</t>
  </si>
  <si>
    <t xml:space="preserve">Architecture principles addressed</t>
  </si>
  <si>
    <t xml:space="preserve">Event-driven by default; managed identity over shared accounts</t>
  </si>
  <si>
    <t xml:space="preserve">Optional. The principles this initiative follows or tests.</t>
  </si>
  <si>
    <t xml:space="preserve">Gap closed (baseline to target)</t>
  </si>
  <si>
    <t xml:space="preserve">Baseline: nightly batch, 8 hour latency. Target: continuous feed, under 5 minutes.</t>
  </si>
  <si>
    <t xml:space="preserve">One line: where it is today, where it ends up.</t>
  </si>
  <si>
    <t xml:space="preserve">Benefits owner (named)</t>
  </si>
  <si>
    <t xml:space="preserve">The person who answers for the benefit after delivery.</t>
  </si>
  <si>
    <t xml:space="preserve">Benefits review date</t>
  </si>
  <si>
    <t xml:space="preserve">When the KPIs above are checked against the business case.</t>
  </si>
  <si>
    <t xml:space="preserve">Standards references</t>
  </si>
  <si>
    <t xml:space="preserve">TOGAF Phase E/F work package; COBIT APO05, EDM02</t>
  </si>
  <si>
    <t xml:space="preserve">Optional. TOGAF phase or artefact, COBIT objective IDs.</t>
  </si>
  <si>
    <t xml:space="preserve">P2.  &lt;project name&gt;</t>
  </si>
  <si>
    <t xml:space="preserve">TBC</t>
  </si>
  <si>
    <t xml:space="preserve">Proposed</t>
  </si>
  <si>
    <t xml:space="preserve">P3.  &lt;project name&gt;</t>
  </si>
  <si>
    <t xml:space="preserve">P4.  &lt;project name&gt;</t>
  </si>
  <si>
    <t xml:space="preserve">P5.  &lt;project name&gt;</t>
  </si>
  <si>
    <t xml:space="preserve">P6.  &lt;project name&gt;</t>
  </si>
  <si>
    <t xml:space="preserve">P7.  &lt;project name&gt;</t>
  </si>
  <si>
    <t xml:space="preserve">P8.  &lt;project name&gt;</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</si>
</sst>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0.00"/>
    <numFmt numFmtId="169" formatCode="0"/>
    <numFmt numFmtId="170" formatCode="0.0%"/>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808080"/>
      <name val="Arial"/>
      <family val="0"/>
      <charset val="1"/>
    </font>
    <font>
      <b val="true"/>
      <sz val="11"/>
      <color rgb="FFFFFFFF"/>
      <name val="Arial"/>
      <family val="0"/>
      <charset val="1"/>
    </font>
    <font>
      <sz val="10"/>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b val="true"/>
      <sz val="10"/>
      <color rgb="FF008000"/>
      <name val="Arial"/>
      <family val="0"/>
      <charset val="1"/>
    </font>
    <font>
      <b val="true"/>
      <sz val="10"/>
      <color rgb="FF000000"/>
      <name val="Arial"/>
      <family val="0"/>
      <charset val="1"/>
    </font>
    <font>
      <b val="true"/>
      <sz val="10"/>
      <name val="Arial"/>
      <family val="0"/>
      <charset val="1"/>
    </font>
    <font>
      <sz val="10"/>
      <color rgb="FF0000FF"/>
      <name val="Arial"/>
      <family val="0"/>
      <charset val="1"/>
    </font>
    <font>
      <sz val="9"/>
      <color rgb="FF808080"/>
      <name val="Arial"/>
      <family val="0"/>
      <charset val="1"/>
    </font>
    <font>
      <sz val="10"/>
      <color rgb="FF008000"/>
      <name val="Arial"/>
      <family val="0"/>
      <charset val="1"/>
    </font>
    <font>
      <b val="true"/>
      <sz val="11"/>
      <color rgb="FF0000FF"/>
      <name val="Arial"/>
      <family val="0"/>
      <charset val="1"/>
    </font>
    <font>
      <b val="true"/>
      <sz val="12"/>
      <color rgb="FF1F3864"/>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FF2CC"/>
        <bgColor rgb="FFF2F2F2"/>
      </patternFill>
    </fill>
    <fill>
      <patternFill patternType="solid">
        <fgColor rgb="FFC6E0B4"/>
        <bgColor rgb="FFD9E2F3"/>
      </patternFill>
    </fill>
    <fill>
      <patternFill patternType="solid">
        <fgColor rgb="FFF2F2F2"/>
        <bgColor rgb="FFF2F5FA"/>
      </patternFill>
    </fill>
    <fill>
      <patternFill patternType="solid">
        <fgColor rgb="FFF2F5FA"/>
        <bgColor rgb="FFF2F2F2"/>
      </patternFill>
    </fill>
    <fill>
      <patternFill patternType="solid">
        <fgColor rgb="FFD9E2F3"/>
        <bgColor rgb="FFF2F2F2"/>
      </patternFill>
    </fill>
    <fill>
      <patternFill patternType="solid">
        <fgColor rgb="FFFFE699"/>
        <bgColor rgb="FFFFF2CC"/>
      </patternFill>
    </fill>
    <fill>
      <patternFill patternType="solid">
        <fgColor rgb="FFFFFFFF"/>
        <bgColor rgb="FFF2F5FA"/>
      </patternFill>
    </fill>
    <fill>
      <patternFill patternType="solid">
        <fgColor rgb="FFF8CBAD"/>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7"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5" fontId="7" fillId="7"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6" fontId="16" fillId="0" borderId="1" xfId="0" applyFont="true" applyBorder="true" applyAlignment="true" applyProtection="false">
      <alignment horizontal="center" vertical="center" textRotation="0" wrapText="false" indent="0" shrinkToFit="false"/>
      <protection locked="true" hidden="false"/>
    </xf>
    <xf numFmtId="167" fontId="16" fillId="0"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center" vertical="center" textRotation="0" wrapText="false" indent="0" shrinkToFit="false"/>
      <protection locked="true" hidden="false"/>
    </xf>
    <xf numFmtId="169" fontId="12"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9" fontId="16" fillId="0" borderId="1" xfId="0" applyFont="true" applyBorder="true" applyAlignment="true" applyProtection="false">
      <alignment horizontal="center"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false" indent="0" shrinkToFit="false"/>
      <protection locked="true" hidden="false"/>
    </xf>
    <xf numFmtId="166" fontId="16" fillId="7" borderId="1" xfId="0" applyFont="true" applyBorder="true" applyAlignment="true" applyProtection="false">
      <alignment horizontal="center" vertical="center" textRotation="0" wrapText="false" indent="0" shrinkToFit="false"/>
      <protection locked="true" hidden="false"/>
    </xf>
    <xf numFmtId="167" fontId="16" fillId="7" borderId="1" xfId="0" applyFont="true" applyBorder="true" applyAlignment="true" applyProtection="false">
      <alignment horizontal="center" vertical="center" textRotation="0" wrapText="false" indent="0" shrinkToFit="false"/>
      <protection locked="true" hidden="false"/>
    </xf>
    <xf numFmtId="168" fontId="11" fillId="7" borderId="1" xfId="0" applyFont="true" applyBorder="true" applyAlignment="true" applyProtection="false">
      <alignment horizontal="center" vertical="center" textRotation="0" wrapText="false" indent="0" shrinkToFit="false"/>
      <protection locked="true" hidden="false"/>
    </xf>
    <xf numFmtId="169" fontId="12" fillId="7" borderId="1" xfId="0" applyFont="true" applyBorder="true" applyAlignment="true" applyProtection="false">
      <alignment horizontal="center" vertical="center" textRotation="0" wrapText="false" indent="0" shrinkToFit="false"/>
      <protection locked="true" hidden="false"/>
    </xf>
    <xf numFmtId="167" fontId="9" fillId="7" borderId="1" xfId="0" applyFont="true" applyBorder="true" applyAlignment="true" applyProtection="false">
      <alignment horizontal="center" vertical="center" textRotation="0" wrapText="false" indent="0" shrinkToFit="false"/>
      <protection locked="true" hidden="false"/>
    </xf>
    <xf numFmtId="169" fontId="16" fillId="7"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6" fontId="13" fillId="8" borderId="1" xfId="0" applyFont="true" applyBorder="true" applyAlignment="true" applyProtection="false">
      <alignment horizontal="center"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8" fontId="13" fillId="8"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66" fontId="14" fillId="7"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6" fontId="14" fillId="4"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4" fontId="16" fillId="7" borderId="1" xfId="0" applyFont="true" applyBorder="true" applyAlignment="true" applyProtection="false">
      <alignment horizontal="general" vertical="center" textRotation="0" wrapText="false" indent="0" shrinkToFit="false"/>
      <protection locked="true" hidden="false"/>
    </xf>
    <xf numFmtId="170" fontId="7" fillId="7" borderId="1" xfId="0" applyFont="true" applyBorder="true" applyAlignment="true" applyProtection="false">
      <alignment horizontal="center" vertical="center" textRotation="0" wrapText="false" indent="0" shrinkToFit="false"/>
      <protection locked="true" hidden="false"/>
    </xf>
    <xf numFmtId="167" fontId="13" fillId="7" borderId="1" xfId="0" applyFont="true" applyBorder="true" applyAlignment="true" applyProtection="false">
      <alignment horizontal="center" vertical="center" textRotation="0" wrapText="false" indent="0" shrinkToFit="false"/>
      <protection locked="true" hidden="false"/>
    </xf>
    <xf numFmtId="170" fontId="13" fillId="8" borderId="1" xfId="0" applyFont="true" applyBorder="true" applyAlignment="true" applyProtection="false">
      <alignment horizontal="center" vertical="bottom" textRotation="0" wrapText="false" indent="0" shrinkToFit="false"/>
      <protection locked="true" hidden="false"/>
    </xf>
    <xf numFmtId="167" fontId="13" fillId="8"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17" fillId="10" borderId="1" xfId="0" applyFont="true" applyBorder="true" applyAlignment="true" applyProtection="false">
      <alignment horizontal="center" vertical="center" textRotation="0" wrapText="false" indent="0" shrinkToFit="false"/>
      <protection locked="true" hidden="false"/>
    </xf>
    <xf numFmtId="165" fontId="16"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5" fontId="16" fillId="7" borderId="1" xfId="0" applyFont="true" applyBorder="true" applyAlignment="true" applyProtection="false">
      <alignment horizontal="center" vertical="center" textRotation="0" wrapText="false" indent="0" shrinkToFit="false"/>
      <protection locked="true" hidden="false"/>
    </xf>
    <xf numFmtId="168" fontId="7" fillId="7" borderId="1" xfId="0" applyFont="true" applyBorder="true" applyAlignment="true" applyProtection="false">
      <alignment horizontal="center" vertical="center" textRotation="0" wrapText="false" indent="0" shrinkToFit="false"/>
      <protection locked="true" hidden="false"/>
    </xf>
    <xf numFmtId="168" fontId="18" fillId="8"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2"/>
    <col collapsed="false" customWidth="true" hidden="false" outlineLevel="0" max="4" min="3" style="0" width="22"/>
  </cols>
  <sheetData>
    <row r="1" customFormat="false" ht="21.75" hidden="false" customHeight="true" outlineLevel="0" collapsed="false">
      <c r="A1" s="1" t="s">
        <v>0</v>
      </c>
      <c r="B1" s="1"/>
      <c r="C1" s="1"/>
      <c r="D1" s="1"/>
    </row>
    <row r="2" customFormat="false" ht="15" hidden="false" customHeight="false" outlineLevel="0" collapsed="false">
      <c r="A2" s="2" t="s">
        <v>1</v>
      </c>
      <c r="B2" s="2"/>
      <c r="C2" s="2"/>
      <c r="D2" s="2"/>
    </row>
    <row r="4" customFormat="false" ht="18" hidden="false" customHeight="true" outlineLevel="0" collapsed="false">
      <c r="A4" s="3" t="s">
        <v>2</v>
      </c>
      <c r="B4" s="4"/>
      <c r="C4" s="4"/>
      <c r="D4" s="4"/>
    </row>
    <row r="5" customFormat="false" ht="30" hidden="false" customHeight="true" outlineLevel="0" collapsed="false">
      <c r="A5" s="5" t="s">
        <v>3</v>
      </c>
      <c r="B5" s="5"/>
      <c r="C5" s="5"/>
      <c r="D5" s="5"/>
    </row>
    <row r="6" customFormat="false" ht="30" hidden="false" customHeight="true" outlineLevel="0" collapsed="false">
      <c r="A6" s="5" t="s">
        <v>4</v>
      </c>
      <c r="B6" s="5"/>
      <c r="C6" s="5"/>
      <c r="D6" s="5"/>
    </row>
    <row r="7" customFormat="false" ht="30" hidden="false" customHeight="true" outlineLevel="0" collapsed="false">
      <c r="A7" s="5" t="s">
        <v>5</v>
      </c>
      <c r="B7" s="5"/>
      <c r="C7" s="5"/>
      <c r="D7" s="5"/>
    </row>
    <row r="9" customFormat="false" ht="18" hidden="false" customHeight="true" outlineLevel="0" collapsed="false">
      <c r="A9" s="3" t="s">
        <v>6</v>
      </c>
      <c r="B9" s="4"/>
      <c r="C9" s="4"/>
      <c r="D9" s="4"/>
    </row>
    <row r="10" customFormat="false" ht="30" hidden="false" customHeight="true" outlineLevel="0" collapsed="false">
      <c r="A10" s="6" t="s">
        <v>7</v>
      </c>
      <c r="B10" s="6" t="s">
        <v>8</v>
      </c>
      <c r="C10" s="6" t="s">
        <v>9</v>
      </c>
      <c r="D10" s="6" t="s">
        <v>10</v>
      </c>
    </row>
    <row r="11" customFormat="false" ht="15" hidden="false" customHeight="false" outlineLevel="0" collapsed="false">
      <c r="A11" s="7" t="s">
        <v>11</v>
      </c>
      <c r="B11" s="7" t="s">
        <v>12</v>
      </c>
      <c r="C11" s="7" t="s">
        <v>13</v>
      </c>
      <c r="D11" s="7" t="s">
        <v>14</v>
      </c>
    </row>
    <row r="12" customFormat="false" ht="15" hidden="false" customHeight="false" outlineLevel="0" collapsed="false">
      <c r="A12" s="7" t="s">
        <v>15</v>
      </c>
      <c r="B12" s="7" t="s">
        <v>16</v>
      </c>
      <c r="C12" s="7" t="s">
        <v>13</v>
      </c>
      <c r="D12" s="7" t="s">
        <v>17</v>
      </c>
    </row>
    <row r="13" customFormat="false" ht="15" hidden="false" customHeight="false" outlineLevel="0" collapsed="false">
      <c r="A13" s="7" t="s">
        <v>18</v>
      </c>
      <c r="B13" s="7" t="s">
        <v>19</v>
      </c>
      <c r="C13" s="7" t="s">
        <v>20</v>
      </c>
      <c r="D13" s="7" t="s">
        <v>14</v>
      </c>
    </row>
    <row r="14" customFormat="false" ht="15" hidden="false" customHeight="false" outlineLevel="0" collapsed="false">
      <c r="A14" s="7" t="s">
        <v>21</v>
      </c>
      <c r="B14" s="7" t="s">
        <v>22</v>
      </c>
      <c r="C14" s="7" t="s">
        <v>13</v>
      </c>
      <c r="D14" s="7" t="s">
        <v>23</v>
      </c>
    </row>
    <row r="15" customFormat="false" ht="15" hidden="false" customHeight="false" outlineLevel="0" collapsed="false">
      <c r="A15" s="7" t="s">
        <v>24</v>
      </c>
      <c r="B15" s="7" t="s">
        <v>25</v>
      </c>
      <c r="C15" s="7" t="s">
        <v>26</v>
      </c>
      <c r="D15" s="7" t="s">
        <v>27</v>
      </c>
    </row>
    <row r="16" customFormat="false" ht="15" hidden="false" customHeight="false" outlineLevel="0" collapsed="false">
      <c r="A16" s="7" t="s">
        <v>28</v>
      </c>
      <c r="B16" s="7" t="s">
        <v>29</v>
      </c>
      <c r="C16" s="7" t="s">
        <v>30</v>
      </c>
      <c r="D16" s="7" t="s">
        <v>31</v>
      </c>
    </row>
    <row r="17" customFormat="false" ht="15" hidden="false" customHeight="false" outlineLevel="0" collapsed="false">
      <c r="A17" s="7" t="s">
        <v>32</v>
      </c>
      <c r="B17" s="7" t="s">
        <v>33</v>
      </c>
      <c r="C17" s="7" t="s">
        <v>20</v>
      </c>
      <c r="D17" s="7" t="s">
        <v>34</v>
      </c>
    </row>
    <row r="18" customFormat="false" ht="15" hidden="false" customHeight="false" outlineLevel="0" collapsed="false">
      <c r="A18" s="7" t="s">
        <v>35</v>
      </c>
      <c r="B18" s="7" t="s">
        <v>36</v>
      </c>
      <c r="C18" s="7" t="s">
        <v>37</v>
      </c>
      <c r="D18" s="7" t="s">
        <v>38</v>
      </c>
    </row>
    <row r="20" customFormat="false" ht="18" hidden="false" customHeight="true" outlineLevel="0" collapsed="false">
      <c r="A20" s="3" t="s">
        <v>39</v>
      </c>
      <c r="B20" s="4"/>
      <c r="C20" s="4"/>
      <c r="D20" s="4"/>
    </row>
    <row r="21" customFormat="false" ht="15" hidden="false" customHeight="false" outlineLevel="0" collapsed="false">
      <c r="A21" s="8" t="s">
        <v>40</v>
      </c>
      <c r="B21" s="9" t="s">
        <v>41</v>
      </c>
    </row>
    <row r="22" customFormat="false" ht="15" hidden="false" customHeight="false" outlineLevel="0" collapsed="false">
      <c r="A22" s="10" t="s">
        <v>42</v>
      </c>
      <c r="B22" s="9" t="s">
        <v>43</v>
      </c>
    </row>
    <row r="23" customFormat="false" ht="15" hidden="false" customHeight="false" outlineLevel="0" collapsed="false">
      <c r="A23" s="11" t="s">
        <v>44</v>
      </c>
      <c r="B23" s="9" t="s">
        <v>45</v>
      </c>
    </row>
    <row r="24" customFormat="false" ht="15" hidden="false" customHeight="false" outlineLevel="0" collapsed="false">
      <c r="A24" s="12" t="s">
        <v>46</v>
      </c>
      <c r="B24" s="9" t="s">
        <v>47</v>
      </c>
    </row>
    <row r="26" customFormat="false" ht="18" hidden="false" customHeight="true" outlineLevel="0" collapsed="false">
      <c r="A26" s="3" t="s">
        <v>48</v>
      </c>
      <c r="B26" s="4"/>
      <c r="C26" s="4"/>
      <c r="D26" s="4"/>
    </row>
    <row r="27" customFormat="false" ht="27.75" hidden="false" customHeight="true" outlineLevel="0" collapsed="false">
      <c r="A27" s="5" t="s">
        <v>49</v>
      </c>
      <c r="B27" s="5"/>
      <c r="C27" s="5"/>
      <c r="D27" s="5"/>
    </row>
    <row r="28" customFormat="false" ht="27.75" hidden="false" customHeight="true" outlineLevel="0" collapsed="false">
      <c r="A28" s="5" t="s">
        <v>50</v>
      </c>
      <c r="B28" s="5"/>
      <c r="C28" s="5"/>
      <c r="D28" s="5"/>
    </row>
    <row r="29" customFormat="false" ht="27.75" hidden="false" customHeight="true" outlineLevel="0" collapsed="false">
      <c r="A29" s="5" t="s">
        <v>51</v>
      </c>
      <c r="B29" s="5"/>
      <c r="C29" s="5"/>
      <c r="D29" s="5"/>
    </row>
    <row r="30" customFormat="false" ht="27.75" hidden="false" customHeight="true" outlineLevel="0" collapsed="false">
      <c r="A30" s="5" t="s">
        <v>52</v>
      </c>
      <c r="B30" s="5"/>
      <c r="C30" s="5"/>
      <c r="D30" s="5"/>
    </row>
    <row r="31" customFormat="false" ht="27.75" hidden="false" customHeight="true" outlineLevel="0" collapsed="false">
      <c r="A31" s="5" t="s">
        <v>53</v>
      </c>
      <c r="B31" s="5"/>
      <c r="C31" s="5"/>
      <c r="D31" s="5"/>
    </row>
    <row r="32" customFormat="false" ht="27.75" hidden="false" customHeight="true" outlineLevel="0" collapsed="false">
      <c r="A32" s="5" t="s">
        <v>54</v>
      </c>
      <c r="B32" s="5"/>
      <c r="C32" s="5"/>
      <c r="D32" s="5"/>
    </row>
    <row r="34" customFormat="false" ht="18" hidden="false" customHeight="true" outlineLevel="0" collapsed="false">
      <c r="A34" s="3" t="s">
        <v>55</v>
      </c>
      <c r="B34" s="4"/>
      <c r="C34" s="4"/>
      <c r="D34" s="4"/>
    </row>
    <row r="35" customFormat="false" ht="15" hidden="false" customHeight="false" outlineLevel="0" collapsed="false">
      <c r="A35" s="13" t="s">
        <v>56</v>
      </c>
      <c r="B35" s="14" t="s">
        <v>57</v>
      </c>
      <c r="C35" s="15" t="s">
        <v>58</v>
      </c>
    </row>
    <row r="36" customFormat="false" ht="15" hidden="false" customHeight="false" outlineLevel="0" collapsed="false">
      <c r="A36" s="13" t="s">
        <v>59</v>
      </c>
      <c r="B36" s="14" t="s">
        <v>60</v>
      </c>
      <c r="C36" s="15" t="s">
        <v>61</v>
      </c>
    </row>
    <row r="37" customFormat="false" ht="15" hidden="false" customHeight="false" outlineLevel="0" collapsed="false">
      <c r="A37" s="13" t="s">
        <v>62</v>
      </c>
      <c r="B37" s="14" t="s">
        <v>63</v>
      </c>
      <c r="C37" s="15"/>
    </row>
    <row r="38" customFormat="false" ht="15" hidden="false" customHeight="false" outlineLevel="0" collapsed="false">
      <c r="A38" s="13" t="s">
        <v>64</v>
      </c>
      <c r="B38" s="14" t="s">
        <v>65</v>
      </c>
      <c r="C38" s="15" t="s">
        <v>66</v>
      </c>
    </row>
    <row r="39" customFormat="false" ht="15" hidden="false" customHeight="false" outlineLevel="0" collapsed="false">
      <c r="A39" s="13" t="s">
        <v>67</v>
      </c>
      <c r="B39" s="14" t="s">
        <v>68</v>
      </c>
      <c r="C39" s="15" t="s">
        <v>69</v>
      </c>
    </row>
    <row r="40" customFormat="false" ht="15" hidden="false" customHeight="false" outlineLevel="0" collapsed="false">
      <c r="A40" s="15" t="s">
        <v>70</v>
      </c>
    </row>
    <row r="42" customFormat="false" ht="18" hidden="false" customHeight="true" outlineLevel="0" collapsed="false">
      <c r="A42" s="3" t="s">
        <v>71</v>
      </c>
      <c r="B42" s="4"/>
      <c r="C42" s="4"/>
      <c r="D42" s="4"/>
    </row>
    <row r="43" customFormat="false" ht="30" hidden="false" customHeight="true" outlineLevel="0" collapsed="false">
      <c r="A43" s="6" t="s">
        <v>72</v>
      </c>
      <c r="B43" s="6" t="s">
        <v>73</v>
      </c>
      <c r="C43" s="6" t="s">
        <v>74</v>
      </c>
      <c r="D43" s="6" t="s">
        <v>75</v>
      </c>
    </row>
    <row r="44" customFormat="false" ht="43.5" hidden="false" customHeight="true" outlineLevel="0" collapsed="false">
      <c r="A44" s="7" t="s">
        <v>76</v>
      </c>
      <c r="B44" s="7" t="s">
        <v>77</v>
      </c>
      <c r="C44" s="7" t="s">
        <v>78</v>
      </c>
      <c r="D44" s="16" t="s">
        <v>79</v>
      </c>
    </row>
    <row r="45" customFormat="false" ht="43.5" hidden="false" customHeight="true" outlineLevel="0" collapsed="false">
      <c r="A45" s="7" t="s">
        <v>80</v>
      </c>
      <c r="B45" s="7" t="s">
        <v>81</v>
      </c>
      <c r="C45" s="7" t="s">
        <v>78</v>
      </c>
      <c r="D45" s="16" t="s">
        <v>79</v>
      </c>
    </row>
    <row r="46" customFormat="false" ht="43.5" hidden="false" customHeight="true" outlineLevel="0" collapsed="false">
      <c r="A46" s="7" t="s">
        <v>82</v>
      </c>
      <c r="B46" s="7" t="s">
        <v>83</v>
      </c>
      <c r="C46" s="7" t="s">
        <v>84</v>
      </c>
      <c r="D46" s="16" t="s">
        <v>85</v>
      </c>
    </row>
    <row r="47" customFormat="false" ht="43.5" hidden="false" customHeight="true" outlineLevel="0" collapsed="false">
      <c r="A47" s="7" t="s">
        <v>86</v>
      </c>
      <c r="B47" s="7" t="s">
        <v>87</v>
      </c>
      <c r="C47" s="7" t="s">
        <v>84</v>
      </c>
      <c r="D47" s="16" t="s">
        <v>85</v>
      </c>
    </row>
    <row r="48" customFormat="false" ht="43.5" hidden="false" customHeight="true" outlineLevel="0" collapsed="false">
      <c r="A48" s="7" t="s">
        <v>88</v>
      </c>
      <c r="B48" s="7" t="s">
        <v>89</v>
      </c>
      <c r="C48" s="7" t="s">
        <v>84</v>
      </c>
      <c r="D48" s="16" t="s">
        <v>85</v>
      </c>
    </row>
    <row r="49" customFormat="false" ht="43.5" hidden="false" customHeight="true" outlineLevel="0" collapsed="false">
      <c r="A49" s="7" t="s">
        <v>90</v>
      </c>
      <c r="B49" s="7" t="s">
        <v>91</v>
      </c>
      <c r="C49" s="7" t="s">
        <v>92</v>
      </c>
      <c r="D49" s="17" t="s">
        <v>93</v>
      </c>
    </row>
    <row r="50" customFormat="false" ht="43.5" hidden="false" customHeight="true" outlineLevel="0" collapsed="false">
      <c r="A50" s="7" t="s">
        <v>94</v>
      </c>
      <c r="B50" s="7" t="s">
        <v>95</v>
      </c>
      <c r="C50" s="7" t="s">
        <v>96</v>
      </c>
      <c r="D50" s="17" t="s">
        <v>93</v>
      </c>
    </row>
    <row r="51" customFormat="false" ht="43.5" hidden="false" customHeight="true" outlineLevel="0" collapsed="false">
      <c r="A51" s="7" t="s">
        <v>97</v>
      </c>
      <c r="B51" s="7" t="s">
        <v>98</v>
      </c>
      <c r="C51" s="7" t="s">
        <v>92</v>
      </c>
      <c r="D51" s="16" t="s">
        <v>85</v>
      </c>
    </row>
    <row r="52" customFormat="false" ht="43.5" hidden="false" customHeight="true" outlineLevel="0" collapsed="false">
      <c r="A52" s="7" t="s">
        <v>99</v>
      </c>
      <c r="B52" s="7" t="s">
        <v>100</v>
      </c>
      <c r="C52" s="7" t="s">
        <v>101</v>
      </c>
      <c r="D52" s="17" t="s">
        <v>93</v>
      </c>
    </row>
    <row r="53" customFormat="false" ht="43.5" hidden="false" customHeight="true" outlineLevel="0" collapsed="false">
      <c r="A53" s="7" t="s">
        <v>102</v>
      </c>
      <c r="B53" s="7" t="s">
        <v>103</v>
      </c>
      <c r="C53" s="7" t="s">
        <v>92</v>
      </c>
      <c r="D53" s="17" t="s">
        <v>93</v>
      </c>
    </row>
    <row r="54" customFormat="false" ht="43.5" hidden="false" customHeight="true" outlineLevel="0" collapsed="false">
      <c r="A54" s="7" t="s">
        <v>104</v>
      </c>
      <c r="B54" s="7" t="s">
        <v>105</v>
      </c>
      <c r="C54" s="7" t="s">
        <v>92</v>
      </c>
      <c r="D54" s="17" t="s">
        <v>93</v>
      </c>
    </row>
    <row r="55" customFormat="false" ht="43.5" hidden="false" customHeight="true" outlineLevel="0" collapsed="false">
      <c r="A55" s="7" t="s">
        <v>106</v>
      </c>
      <c r="B55" s="7" t="s">
        <v>107</v>
      </c>
      <c r="C55" s="7" t="s">
        <v>92</v>
      </c>
      <c r="D55" s="17" t="s">
        <v>93</v>
      </c>
    </row>
    <row r="56" customFormat="false" ht="43.5" hidden="false" customHeight="true" outlineLevel="0" collapsed="false">
      <c r="A56" s="7" t="s">
        <v>108</v>
      </c>
      <c r="B56" s="7" t="s">
        <v>109</v>
      </c>
      <c r="C56" s="7" t="s">
        <v>110</v>
      </c>
      <c r="D56" s="17" t="s">
        <v>93</v>
      </c>
    </row>
    <row r="58" customFormat="false" ht="18" hidden="false" customHeight="true" outlineLevel="0" collapsed="false">
      <c r="A58" s="3" t="s">
        <v>111</v>
      </c>
      <c r="B58" s="4"/>
      <c r="C58" s="4"/>
      <c r="D58" s="4"/>
    </row>
    <row r="59" customFormat="false" ht="30" hidden="false" customHeight="true" outlineLevel="0" collapsed="false">
      <c r="A59" s="6" t="s">
        <v>112</v>
      </c>
      <c r="B59" s="6" t="s">
        <v>113</v>
      </c>
      <c r="C59" s="6" t="s">
        <v>114</v>
      </c>
      <c r="D59" s="6" t="s">
        <v>115</v>
      </c>
    </row>
    <row r="60" customFormat="false" ht="15" hidden="false" customHeight="false" outlineLevel="0" collapsed="false">
      <c r="A60" s="7" t="s">
        <v>116</v>
      </c>
      <c r="B60" s="7" t="s">
        <v>117</v>
      </c>
      <c r="C60" s="7" t="s">
        <v>118</v>
      </c>
      <c r="D60" s="16" t="s">
        <v>85</v>
      </c>
    </row>
    <row r="61" customFormat="false" ht="15" hidden="false" customHeight="false" outlineLevel="0" collapsed="false">
      <c r="A61" s="18" t="s">
        <v>119</v>
      </c>
      <c r="B61" s="18" t="s">
        <v>120</v>
      </c>
      <c r="C61" s="18" t="s">
        <v>118</v>
      </c>
      <c r="D61" s="16" t="s">
        <v>85</v>
      </c>
    </row>
    <row r="62" customFormat="false" ht="15" hidden="false" customHeight="false" outlineLevel="0" collapsed="false">
      <c r="A62" s="7" t="s">
        <v>121</v>
      </c>
      <c r="B62" s="7" t="s">
        <v>122</v>
      </c>
      <c r="C62" s="7" t="s">
        <v>123</v>
      </c>
      <c r="D62" s="16" t="s">
        <v>85</v>
      </c>
    </row>
    <row r="63" customFormat="false" ht="15" hidden="false" customHeight="false" outlineLevel="0" collapsed="false">
      <c r="A63" s="18" t="s">
        <v>124</v>
      </c>
      <c r="B63" s="18" t="s">
        <v>125</v>
      </c>
      <c r="C63" s="18" t="s">
        <v>63</v>
      </c>
      <c r="D63" s="16" t="s">
        <v>85</v>
      </c>
    </row>
    <row r="64" customFormat="false" ht="15" hidden="false" customHeight="false" outlineLevel="0" collapsed="false">
      <c r="A64" s="7" t="s">
        <v>126</v>
      </c>
      <c r="B64" s="7" t="s">
        <v>127</v>
      </c>
      <c r="C64" s="7" t="s">
        <v>63</v>
      </c>
      <c r="D64" s="16" t="s">
        <v>85</v>
      </c>
    </row>
    <row r="65" customFormat="false" ht="15" hidden="false" customHeight="false" outlineLevel="0" collapsed="false">
      <c r="A65" s="18" t="s">
        <v>128</v>
      </c>
      <c r="B65" s="18" t="s">
        <v>129</v>
      </c>
      <c r="C65" s="18" t="s">
        <v>130</v>
      </c>
      <c r="D65" s="16" t="s">
        <v>85</v>
      </c>
    </row>
    <row r="66" customFormat="false" ht="15" hidden="false" customHeight="false" outlineLevel="0" collapsed="false">
      <c r="A66" s="7" t="s">
        <v>131</v>
      </c>
      <c r="B66" s="7" t="s">
        <v>132</v>
      </c>
      <c r="C66" s="7"/>
      <c r="D66" s="19" t="s">
        <v>133</v>
      </c>
    </row>
  </sheetData>
  <mergeCells count="11">
    <mergeCell ref="A1:D1"/>
    <mergeCell ref="A2:D2"/>
    <mergeCell ref="A5:D5"/>
    <mergeCell ref="A6:D6"/>
    <mergeCell ref="A7:D7"/>
    <mergeCell ref="A27:D27"/>
    <mergeCell ref="A28:D28"/>
    <mergeCell ref="A29:D29"/>
    <mergeCell ref="A30:D30"/>
    <mergeCell ref="A31:D3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46"/>
    <col collapsed="false" customWidth="true" hidden="false" outlineLevel="0" max="7" min="4" style="0" width="42"/>
  </cols>
  <sheetData>
    <row r="1" customFormat="false" ht="21.75" hidden="false" customHeight="true" outlineLevel="0" collapsed="false">
      <c r="A1" s="1" t="s">
        <v>134</v>
      </c>
      <c r="B1" s="1"/>
      <c r="C1" s="1"/>
      <c r="D1" s="1"/>
      <c r="E1" s="1"/>
      <c r="F1" s="1"/>
      <c r="G1" s="1"/>
    </row>
    <row r="2" customFormat="false" ht="15" hidden="false" customHeight="false" outlineLevel="0" collapsed="false">
      <c r="A2" s="2" t="s">
        <v>135</v>
      </c>
      <c r="B2" s="2"/>
      <c r="C2" s="2"/>
      <c r="D2" s="2"/>
      <c r="E2" s="2"/>
      <c r="F2" s="2"/>
      <c r="G2" s="2"/>
    </row>
    <row r="4" customFormat="false" ht="18" hidden="false" customHeight="true" outlineLevel="0" collapsed="false">
      <c r="A4" s="3" t="s">
        <v>136</v>
      </c>
      <c r="B4" s="4"/>
      <c r="C4" s="4"/>
      <c r="D4" s="4"/>
      <c r="E4" s="4"/>
      <c r="F4" s="4"/>
      <c r="G4" s="4"/>
    </row>
    <row r="5" customFormat="false" ht="30" hidden="false" customHeight="true" outlineLevel="0" collapsed="false">
      <c r="A5" s="6" t="s">
        <v>137</v>
      </c>
      <c r="B5" s="6" t="s">
        <v>138</v>
      </c>
      <c r="C5" s="6" t="s">
        <v>139</v>
      </c>
    </row>
    <row r="6" customFormat="false" ht="27.75" hidden="false" customHeight="true" outlineLevel="0" collapsed="false">
      <c r="A6" s="7" t="s">
        <v>140</v>
      </c>
      <c r="B6" s="20" t="n">
        <v>0.2</v>
      </c>
      <c r="C6" s="7" t="s">
        <v>141</v>
      </c>
    </row>
    <row r="7" customFormat="false" ht="27.75" hidden="false" customHeight="true" outlineLevel="0" collapsed="false">
      <c r="A7" s="18" t="s">
        <v>142</v>
      </c>
      <c r="B7" s="21" t="n">
        <v>0.2</v>
      </c>
      <c r="C7" s="18" t="s">
        <v>143</v>
      </c>
    </row>
    <row r="8" customFormat="false" ht="27.75" hidden="false" customHeight="true" outlineLevel="0" collapsed="false">
      <c r="A8" s="7" t="s">
        <v>144</v>
      </c>
      <c r="B8" s="20" t="n">
        <v>0.2</v>
      </c>
      <c r="C8" s="7" t="s">
        <v>145</v>
      </c>
    </row>
    <row r="9" customFormat="false" ht="27.75" hidden="false" customHeight="true" outlineLevel="0" collapsed="false">
      <c r="A9" s="18" t="s">
        <v>146</v>
      </c>
      <c r="B9" s="21" t="n">
        <v>0.1</v>
      </c>
      <c r="C9" s="18" t="s">
        <v>147</v>
      </c>
    </row>
    <row r="10" customFormat="false" ht="27.75" hidden="false" customHeight="true" outlineLevel="0" collapsed="false">
      <c r="A10" s="7" t="s">
        <v>148</v>
      </c>
      <c r="B10" s="20" t="n">
        <v>0.1</v>
      </c>
      <c r="C10" s="7" t="s">
        <v>149</v>
      </c>
    </row>
    <row r="11" customFormat="false" ht="27.75" hidden="false" customHeight="true" outlineLevel="0" collapsed="false">
      <c r="A11" s="18" t="s">
        <v>150</v>
      </c>
      <c r="B11" s="21" t="n">
        <v>0.1</v>
      </c>
      <c r="C11" s="18" t="s">
        <v>151</v>
      </c>
    </row>
    <row r="12" customFormat="false" ht="27.75" hidden="false" customHeight="true" outlineLevel="0" collapsed="false">
      <c r="A12" s="7" t="s">
        <v>152</v>
      </c>
      <c r="B12" s="20" t="n">
        <v>0.1</v>
      </c>
      <c r="C12" s="7" t="s">
        <v>153</v>
      </c>
    </row>
    <row r="13" customFormat="false" ht="15" hidden="false" customHeight="false" outlineLevel="0" collapsed="false">
      <c r="A13" s="22" t="s">
        <v>154</v>
      </c>
      <c r="B13" s="23" t="n">
        <f aca="false">SUM(B6:B12)</f>
        <v>1</v>
      </c>
      <c r="C13" s="7" t="s">
        <v>155</v>
      </c>
    </row>
    <row r="15" customFormat="false" ht="18" hidden="false" customHeight="true" outlineLevel="0" collapsed="false">
      <c r="A15" s="3" t="s">
        <v>156</v>
      </c>
      <c r="B15" s="4"/>
      <c r="C15" s="4"/>
      <c r="D15" s="4"/>
      <c r="E15" s="4"/>
      <c r="F15" s="4"/>
      <c r="G15" s="4"/>
    </row>
    <row r="16" customFormat="false" ht="30" hidden="false" customHeight="true" outlineLevel="0" collapsed="false">
      <c r="A16" s="6" t="s">
        <v>157</v>
      </c>
      <c r="B16" s="6" t="s">
        <v>140</v>
      </c>
      <c r="C16" s="6" t="s">
        <v>142</v>
      </c>
      <c r="D16" s="6" t="s">
        <v>144</v>
      </c>
      <c r="E16" s="6" t="s">
        <v>146</v>
      </c>
      <c r="F16" s="6" t="s">
        <v>148</v>
      </c>
      <c r="G16" s="6" t="s">
        <v>150</v>
      </c>
      <c r="H16" s="6" t="s">
        <v>152</v>
      </c>
    </row>
    <row r="17" customFormat="false" ht="15" hidden="false" customHeight="false" outlineLevel="0" collapsed="false">
      <c r="A17" s="7" t="s">
        <v>57</v>
      </c>
      <c r="B17" s="24" t="n">
        <v>0.2</v>
      </c>
      <c r="C17" s="24" t="n">
        <v>0.2</v>
      </c>
      <c r="D17" s="24" t="n">
        <v>0.2</v>
      </c>
      <c r="E17" s="24" t="n">
        <v>0.1</v>
      </c>
      <c r="F17" s="24" t="n">
        <v>0.1</v>
      </c>
      <c r="G17" s="24" t="n">
        <v>0.1</v>
      </c>
      <c r="H17" s="24" t="n">
        <v>0.1</v>
      </c>
    </row>
    <row r="18" customFormat="false" ht="15" hidden="false" customHeight="false" outlineLevel="0" collapsed="false">
      <c r="A18" s="18" t="s">
        <v>158</v>
      </c>
      <c r="B18" s="25" t="n">
        <v>0.1</v>
      </c>
      <c r="C18" s="25" t="n">
        <v>0.35</v>
      </c>
      <c r="D18" s="25" t="n">
        <v>0.15</v>
      </c>
      <c r="E18" s="25" t="n">
        <v>0.1</v>
      </c>
      <c r="F18" s="25" t="n">
        <v>0.05</v>
      </c>
      <c r="G18" s="25" t="n">
        <v>0.15</v>
      </c>
      <c r="H18" s="25" t="n">
        <v>0.1</v>
      </c>
    </row>
    <row r="19" customFormat="false" ht="15" hidden="false" customHeight="false" outlineLevel="0" collapsed="false">
      <c r="A19" s="7" t="s">
        <v>159</v>
      </c>
      <c r="B19" s="24" t="n">
        <v>0.1</v>
      </c>
      <c r="C19" s="24" t="n">
        <v>0.1</v>
      </c>
      <c r="D19" s="24" t="n">
        <v>0.35</v>
      </c>
      <c r="E19" s="24" t="n">
        <v>0.2</v>
      </c>
      <c r="F19" s="24" t="n">
        <v>0.05</v>
      </c>
      <c r="G19" s="24" t="n">
        <v>0.1</v>
      </c>
      <c r="H19" s="24" t="n">
        <v>0.1</v>
      </c>
    </row>
    <row r="20" customFormat="false" ht="15" hidden="false" customHeight="false" outlineLevel="0" collapsed="false">
      <c r="A20" s="18" t="s">
        <v>160</v>
      </c>
      <c r="B20" s="25" t="n">
        <v>0.15</v>
      </c>
      <c r="C20" s="25" t="n">
        <v>0.1</v>
      </c>
      <c r="D20" s="25" t="n">
        <v>0.15</v>
      </c>
      <c r="E20" s="25" t="n">
        <v>0.1</v>
      </c>
      <c r="F20" s="25" t="n">
        <v>0.05</v>
      </c>
      <c r="G20" s="25" t="n">
        <v>0.35</v>
      </c>
      <c r="H20" s="25" t="n">
        <v>0.1</v>
      </c>
    </row>
    <row r="21" customFormat="false" ht="15" hidden="false" customHeight="false" outlineLevel="0" collapsed="false">
      <c r="A21" s="7" t="s">
        <v>161</v>
      </c>
      <c r="B21" s="24" t="n">
        <v>0.1</v>
      </c>
      <c r="C21" s="24" t="n">
        <v>0.1</v>
      </c>
      <c r="D21" s="24" t="n">
        <v>0.1</v>
      </c>
      <c r="E21" s="24" t="n">
        <v>0.2</v>
      </c>
      <c r="F21" s="24" t="n">
        <v>0.35</v>
      </c>
      <c r="G21" s="24" t="n">
        <v>0.05</v>
      </c>
      <c r="H21" s="24" t="n">
        <v>0.1</v>
      </c>
    </row>
    <row r="23" customFormat="false" ht="15" hidden="false" customHeight="false" outlineLevel="0" collapsed="false">
      <c r="A23" s="2" t="s">
        <v>162</v>
      </c>
      <c r="B23" s="2"/>
      <c r="C23" s="2"/>
      <c r="D23" s="2"/>
      <c r="E23" s="2"/>
      <c r="F23" s="2"/>
      <c r="G23" s="2"/>
      <c r="H23" s="2"/>
    </row>
    <row r="25" customFormat="false" ht="18" hidden="false" customHeight="true" outlineLevel="0" collapsed="false">
      <c r="A25" s="3" t="s">
        <v>163</v>
      </c>
      <c r="B25" s="4"/>
      <c r="C25" s="4"/>
      <c r="D25" s="4"/>
      <c r="E25" s="4"/>
      <c r="F25" s="4"/>
      <c r="G25" s="4"/>
    </row>
    <row r="26" customFormat="false" ht="30" hidden="false" customHeight="true" outlineLevel="0" collapsed="false">
      <c r="A26" s="6" t="s">
        <v>137</v>
      </c>
      <c r="B26" s="6"/>
      <c r="C26" s="6" t="s">
        <v>164</v>
      </c>
      <c r="D26" s="6" t="s">
        <v>165</v>
      </c>
      <c r="E26" s="6" t="s">
        <v>166</v>
      </c>
      <c r="F26" s="6" t="s">
        <v>167</v>
      </c>
      <c r="G26" s="6" t="s">
        <v>168</v>
      </c>
    </row>
    <row r="27" customFormat="false" ht="45.75" hidden="false" customHeight="true" outlineLevel="0" collapsed="false">
      <c r="A27" s="7" t="s">
        <v>140</v>
      </c>
      <c r="B27" s="7"/>
      <c r="C27" s="7" t="s">
        <v>169</v>
      </c>
      <c r="D27" s="7" t="s">
        <v>170</v>
      </c>
      <c r="E27" s="7" t="s">
        <v>171</v>
      </c>
      <c r="F27" s="7" t="s">
        <v>172</v>
      </c>
      <c r="G27" s="7" t="s">
        <v>173</v>
      </c>
    </row>
    <row r="28" customFormat="false" ht="45.75" hidden="false" customHeight="true" outlineLevel="0" collapsed="false">
      <c r="A28" s="18" t="s">
        <v>142</v>
      </c>
      <c r="B28" s="18"/>
      <c r="C28" s="18" t="s">
        <v>174</v>
      </c>
      <c r="D28" s="18" t="s">
        <v>175</v>
      </c>
      <c r="E28" s="18" t="s">
        <v>176</v>
      </c>
      <c r="F28" s="18" t="s">
        <v>177</v>
      </c>
      <c r="G28" s="18" t="s">
        <v>178</v>
      </c>
    </row>
    <row r="29" customFormat="false" ht="45.75" hidden="false" customHeight="true" outlineLevel="0" collapsed="false">
      <c r="A29" s="7" t="s">
        <v>144</v>
      </c>
      <c r="B29" s="7"/>
      <c r="C29" s="7" t="s">
        <v>179</v>
      </c>
      <c r="D29" s="7" t="s">
        <v>180</v>
      </c>
      <c r="E29" s="7" t="s">
        <v>181</v>
      </c>
      <c r="F29" s="7" t="s">
        <v>182</v>
      </c>
      <c r="G29" s="7" t="s">
        <v>183</v>
      </c>
    </row>
    <row r="30" customFormat="false" ht="45.75" hidden="false" customHeight="true" outlineLevel="0" collapsed="false">
      <c r="A30" s="18" t="s">
        <v>146</v>
      </c>
      <c r="B30" s="18"/>
      <c r="C30" s="18" t="s">
        <v>184</v>
      </c>
      <c r="D30" s="18" t="s">
        <v>185</v>
      </c>
      <c r="E30" s="18" t="s">
        <v>186</v>
      </c>
      <c r="F30" s="18" t="s">
        <v>187</v>
      </c>
      <c r="G30" s="18" t="s">
        <v>188</v>
      </c>
    </row>
    <row r="31" customFormat="false" ht="45.75" hidden="false" customHeight="true" outlineLevel="0" collapsed="false">
      <c r="A31" s="7" t="s">
        <v>148</v>
      </c>
      <c r="B31" s="7"/>
      <c r="C31" s="7" t="s">
        <v>189</v>
      </c>
      <c r="D31" s="7" t="s">
        <v>190</v>
      </c>
      <c r="E31" s="7" t="s">
        <v>191</v>
      </c>
      <c r="F31" s="7" t="s">
        <v>192</v>
      </c>
      <c r="G31" s="7" t="s">
        <v>193</v>
      </c>
    </row>
    <row r="32" customFormat="false" ht="45.75" hidden="false" customHeight="true" outlineLevel="0" collapsed="false">
      <c r="A32" s="18" t="s">
        <v>150</v>
      </c>
      <c r="B32" s="18"/>
      <c r="C32" s="18" t="s">
        <v>194</v>
      </c>
      <c r="D32" s="18" t="s">
        <v>195</v>
      </c>
      <c r="E32" s="18" t="s">
        <v>196</v>
      </c>
      <c r="F32" s="18" t="s">
        <v>197</v>
      </c>
      <c r="G32" s="18" t="s">
        <v>198</v>
      </c>
    </row>
    <row r="33" customFormat="false" ht="45.75" hidden="false" customHeight="true" outlineLevel="0" collapsed="false">
      <c r="A33" s="7" t="s">
        <v>152</v>
      </c>
      <c r="B33" s="7"/>
      <c r="C33" s="7" t="s">
        <v>199</v>
      </c>
      <c r="D33" s="7" t="s">
        <v>200</v>
      </c>
      <c r="E33" s="7" t="s">
        <v>201</v>
      </c>
      <c r="F33" s="7" t="s">
        <v>202</v>
      </c>
      <c r="G33" s="7" t="s">
        <v>203</v>
      </c>
    </row>
  </sheetData>
  <mergeCells count="3">
    <mergeCell ref="A1:G1"/>
    <mergeCell ref="A2:G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15"/>
    <col collapsed="false" customWidth="true" hidden="false" outlineLevel="0" max="4" min="4" style="0" width="12"/>
    <col collapsed="false" customWidth="true" hidden="false" outlineLevel="0" max="5" min="5" style="0" width="15"/>
    <col collapsed="false" customWidth="true" hidden="false" outlineLevel="0" max="6" min="6" style="0" width="8"/>
    <col collapsed="false" customWidth="true" hidden="false" outlineLevel="0" max="7" min="7" style="0" width="16"/>
    <col collapsed="false" customWidth="true" hidden="false" outlineLevel="0" max="10" min="8" style="0" width="13"/>
    <col collapsed="false" customWidth="true" hidden="false" outlineLevel="0" max="11" min="11" style="0" width="26"/>
  </cols>
  <sheetData>
    <row r="1" customFormat="false" ht="21.75" hidden="false" customHeight="true" outlineLevel="0" collapsed="false">
      <c r="A1" s="1" t="s">
        <v>204</v>
      </c>
      <c r="B1" s="1"/>
      <c r="C1" s="1"/>
      <c r="D1" s="1"/>
      <c r="E1" s="1"/>
      <c r="F1" s="1"/>
      <c r="G1" s="1"/>
      <c r="H1" s="1"/>
      <c r="I1" s="1"/>
      <c r="J1" s="1"/>
      <c r="K1" s="1"/>
    </row>
    <row r="2" customFormat="false" ht="15" hidden="false" customHeight="false" outlineLevel="0" collapsed="false">
      <c r="A2" s="2" t="s">
        <v>205</v>
      </c>
      <c r="B2" s="2"/>
      <c r="C2" s="2"/>
      <c r="D2" s="2"/>
      <c r="E2" s="2"/>
      <c r="F2" s="2"/>
      <c r="G2" s="2"/>
      <c r="H2" s="2"/>
      <c r="I2" s="2"/>
      <c r="J2" s="2"/>
      <c r="K2" s="2"/>
    </row>
    <row r="4" customFormat="false" ht="18" hidden="false" customHeight="true" outlineLevel="0" collapsed="false">
      <c r="A4" s="3" t="s">
        <v>206</v>
      </c>
      <c r="B4" s="4"/>
      <c r="C4" s="4"/>
      <c r="D4" s="4"/>
      <c r="E4" s="4"/>
      <c r="F4" s="4"/>
      <c r="G4" s="4"/>
      <c r="H4" s="4"/>
      <c r="I4" s="4"/>
      <c r="J4" s="4"/>
      <c r="K4" s="4"/>
    </row>
    <row r="5" customFormat="false" ht="30" hidden="false" customHeight="true" outlineLevel="0" collapsed="false">
      <c r="A5" s="6" t="s">
        <v>207</v>
      </c>
      <c r="B5" s="6" t="s">
        <v>208</v>
      </c>
      <c r="C5" s="6" t="s">
        <v>209</v>
      </c>
      <c r="D5" s="6" t="s">
        <v>210</v>
      </c>
      <c r="E5" s="6" t="s">
        <v>211</v>
      </c>
      <c r="F5" s="6" t="s">
        <v>212</v>
      </c>
      <c r="G5" s="6" t="s">
        <v>213</v>
      </c>
      <c r="H5" s="6" t="s">
        <v>144</v>
      </c>
      <c r="I5" s="6" t="s">
        <v>150</v>
      </c>
      <c r="J5" s="6" t="s">
        <v>214</v>
      </c>
      <c r="K5" s="6" t="s">
        <v>215</v>
      </c>
    </row>
    <row r="6" customFormat="false" ht="15" hidden="false" customHeight="false" outlineLevel="0" collapsed="false">
      <c r="A6" s="7" t="s">
        <v>216</v>
      </c>
      <c r="B6" s="26" t="str">
        <f aca="false">IF('P1'!B6="","",'P1'!B6)</f>
        <v>EXAMPLE  Replace nightly batch export with event streaming</v>
      </c>
      <c r="C6" s="27" t="n">
        <f aca="false">IF('P1'!B10="","",'P1'!B10)</f>
        <v>84000</v>
      </c>
      <c r="D6" s="28" t="n">
        <f aca="false">IF('P1'!B11="","",'P1'!B11)</f>
        <v>3</v>
      </c>
      <c r="E6" s="29" t="n">
        <f aca="false">'P1'!$D$27</f>
        <v>3.5</v>
      </c>
      <c r="F6" s="30" t="n">
        <f aca="false">IF(E6="","",RANK(E6,$E$6:$E$13))</f>
        <v>1</v>
      </c>
      <c r="G6" s="31" t="n">
        <f aca="false">IFERROR(E6/(C6/100000),"")</f>
        <v>4.16666666666667</v>
      </c>
      <c r="H6" s="32" t="n">
        <f aca="false">IF('P1'!$B$22="","",'P1'!$B$22)</f>
        <v>3</v>
      </c>
      <c r="I6" s="32" t="n">
        <f aca="false">IF('P1'!$B$25="","",'P1'!$B$25)</f>
        <v>4</v>
      </c>
      <c r="J6" s="32" t="n">
        <f aca="false">IF('P1'!$B$21="","",'P1'!$B$21)</f>
        <v>3</v>
      </c>
      <c r="K6" s="26" t="str">
        <f aca="false">IF('P1'!B14="","",'P1'!B14)</f>
        <v>Wave 1</v>
      </c>
    </row>
    <row r="7" customFormat="false" ht="15" hidden="false" customHeight="false" outlineLevel="0" collapsed="false">
      <c r="A7" s="18" t="s">
        <v>217</v>
      </c>
      <c r="B7" s="33" t="str">
        <f aca="false">IF('P2'!B6="","",'P2'!B6)</f>
        <v/>
      </c>
      <c r="C7" s="34" t="n">
        <f aca="false">IF('P2'!B10="","",'P2'!B10)</f>
        <v>0</v>
      </c>
      <c r="D7" s="35" t="n">
        <f aca="false">IF('P2'!B11="","",'P2'!B11)</f>
        <v>0</v>
      </c>
      <c r="E7" s="36" t="str">
        <f aca="false">'P2'!$D$27</f>
        <v/>
      </c>
      <c r="F7" s="37" t="str">
        <f aca="false">IF(E7="","",RANK(E7,$E$6:$E$13))</f>
        <v/>
      </c>
      <c r="G7" s="38" t="str">
        <f aca="false">IFERROR(E7/(C7/100000),"")</f>
        <v/>
      </c>
      <c r="H7" s="39" t="str">
        <f aca="false">IF('P2'!$B$22="","",'P2'!$B$22)</f>
        <v/>
      </c>
      <c r="I7" s="39" t="str">
        <f aca="false">IF('P2'!$B$25="","",'P2'!$B$25)</f>
        <v/>
      </c>
      <c r="J7" s="39" t="str">
        <f aca="false">IF('P2'!$B$21="","",'P2'!$B$21)</f>
        <v/>
      </c>
      <c r="K7" s="33" t="str">
        <f aca="false">IF('P2'!B14="","",'P2'!B14)</f>
        <v/>
      </c>
    </row>
    <row r="8" customFormat="false" ht="15" hidden="false" customHeight="false" outlineLevel="0" collapsed="false">
      <c r="A8" s="7" t="s">
        <v>218</v>
      </c>
      <c r="B8" s="26" t="str">
        <f aca="false">IF('P3'!B6="","",'P3'!B6)</f>
        <v/>
      </c>
      <c r="C8" s="27" t="n">
        <f aca="false">IF('P3'!B10="","",'P3'!B10)</f>
        <v>0</v>
      </c>
      <c r="D8" s="28" t="n">
        <f aca="false">IF('P3'!B11="","",'P3'!B11)</f>
        <v>0</v>
      </c>
      <c r="E8" s="29" t="str">
        <f aca="false">'P3'!$D$27</f>
        <v/>
      </c>
      <c r="F8" s="30" t="str">
        <f aca="false">IF(E8="","",RANK(E8,$E$6:$E$13))</f>
        <v/>
      </c>
      <c r="G8" s="31" t="str">
        <f aca="false">IFERROR(E8/(C8/100000),"")</f>
        <v/>
      </c>
      <c r="H8" s="32" t="str">
        <f aca="false">IF('P3'!$B$22="","",'P3'!$B$22)</f>
        <v/>
      </c>
      <c r="I8" s="32" t="str">
        <f aca="false">IF('P3'!$B$25="","",'P3'!$B$25)</f>
        <v/>
      </c>
      <c r="J8" s="32" t="str">
        <f aca="false">IF('P3'!$B$21="","",'P3'!$B$21)</f>
        <v/>
      </c>
      <c r="K8" s="26" t="str">
        <f aca="false">IF('P3'!B14="","",'P3'!B14)</f>
        <v/>
      </c>
    </row>
    <row r="9" customFormat="false" ht="15" hidden="false" customHeight="false" outlineLevel="0" collapsed="false">
      <c r="A9" s="18" t="s">
        <v>219</v>
      </c>
      <c r="B9" s="33" t="str">
        <f aca="false">IF('P4'!B6="","",'P4'!B6)</f>
        <v/>
      </c>
      <c r="C9" s="34" t="n">
        <f aca="false">IF('P4'!B10="","",'P4'!B10)</f>
        <v>0</v>
      </c>
      <c r="D9" s="35" t="n">
        <f aca="false">IF('P4'!B11="","",'P4'!B11)</f>
        <v>0</v>
      </c>
      <c r="E9" s="36" t="str">
        <f aca="false">'P4'!$D$27</f>
        <v/>
      </c>
      <c r="F9" s="37" t="str">
        <f aca="false">IF(E9="","",RANK(E9,$E$6:$E$13))</f>
        <v/>
      </c>
      <c r="G9" s="38" t="str">
        <f aca="false">IFERROR(E9/(C9/100000),"")</f>
        <v/>
      </c>
      <c r="H9" s="39" t="str">
        <f aca="false">IF('P4'!$B$22="","",'P4'!$B$22)</f>
        <v/>
      </c>
      <c r="I9" s="39" t="str">
        <f aca="false">IF('P4'!$B$25="","",'P4'!$B$25)</f>
        <v/>
      </c>
      <c r="J9" s="39" t="str">
        <f aca="false">IF('P4'!$B$21="","",'P4'!$B$21)</f>
        <v/>
      </c>
      <c r="K9" s="33" t="str">
        <f aca="false">IF('P4'!B14="","",'P4'!B14)</f>
        <v/>
      </c>
    </row>
    <row r="10" customFormat="false" ht="15" hidden="false" customHeight="false" outlineLevel="0" collapsed="false">
      <c r="A10" s="7" t="s">
        <v>220</v>
      </c>
      <c r="B10" s="26" t="str">
        <f aca="false">IF('P5'!B6="","",'P5'!B6)</f>
        <v/>
      </c>
      <c r="C10" s="27" t="n">
        <f aca="false">IF('P5'!B10="","",'P5'!B10)</f>
        <v>0</v>
      </c>
      <c r="D10" s="28" t="n">
        <f aca="false">IF('P5'!B11="","",'P5'!B11)</f>
        <v>0</v>
      </c>
      <c r="E10" s="29" t="str">
        <f aca="false">'P5'!$D$27</f>
        <v/>
      </c>
      <c r="F10" s="30" t="str">
        <f aca="false">IF(E10="","",RANK(E10,$E$6:$E$13))</f>
        <v/>
      </c>
      <c r="G10" s="31" t="str">
        <f aca="false">IFERROR(E10/(C10/100000),"")</f>
        <v/>
      </c>
      <c r="H10" s="32" t="str">
        <f aca="false">IF('P5'!$B$22="","",'P5'!$B$22)</f>
        <v/>
      </c>
      <c r="I10" s="32" t="str">
        <f aca="false">IF('P5'!$B$25="","",'P5'!$B$25)</f>
        <v/>
      </c>
      <c r="J10" s="32" t="str">
        <f aca="false">IF('P5'!$B$21="","",'P5'!$B$21)</f>
        <v/>
      </c>
      <c r="K10" s="26" t="str">
        <f aca="false">IF('P5'!B14="","",'P5'!B14)</f>
        <v/>
      </c>
    </row>
    <row r="11" customFormat="false" ht="15" hidden="false" customHeight="false" outlineLevel="0" collapsed="false">
      <c r="A11" s="18" t="s">
        <v>221</v>
      </c>
      <c r="B11" s="33" t="str">
        <f aca="false">IF('P6'!B6="","",'P6'!B6)</f>
        <v/>
      </c>
      <c r="C11" s="34" t="n">
        <f aca="false">IF('P6'!B10="","",'P6'!B10)</f>
        <v>0</v>
      </c>
      <c r="D11" s="35" t="n">
        <f aca="false">IF('P6'!B11="","",'P6'!B11)</f>
        <v>0</v>
      </c>
      <c r="E11" s="36" t="str">
        <f aca="false">'P6'!$D$27</f>
        <v/>
      </c>
      <c r="F11" s="37" t="str">
        <f aca="false">IF(E11="","",RANK(E11,$E$6:$E$13))</f>
        <v/>
      </c>
      <c r="G11" s="38" t="str">
        <f aca="false">IFERROR(E11/(C11/100000),"")</f>
        <v/>
      </c>
      <c r="H11" s="39" t="str">
        <f aca="false">IF('P6'!$B$22="","",'P6'!$B$22)</f>
        <v/>
      </c>
      <c r="I11" s="39" t="str">
        <f aca="false">IF('P6'!$B$25="","",'P6'!$B$25)</f>
        <v/>
      </c>
      <c r="J11" s="39" t="str">
        <f aca="false">IF('P6'!$B$21="","",'P6'!$B$21)</f>
        <v/>
      </c>
      <c r="K11" s="33" t="str">
        <f aca="false">IF('P6'!B14="","",'P6'!B14)</f>
        <v/>
      </c>
    </row>
    <row r="12" customFormat="false" ht="15" hidden="false" customHeight="false" outlineLevel="0" collapsed="false">
      <c r="A12" s="7" t="s">
        <v>222</v>
      </c>
      <c r="B12" s="26" t="str">
        <f aca="false">IF('P7'!B6="","",'P7'!B6)</f>
        <v/>
      </c>
      <c r="C12" s="27" t="n">
        <f aca="false">IF('P7'!B10="","",'P7'!B10)</f>
        <v>0</v>
      </c>
      <c r="D12" s="28" t="n">
        <f aca="false">IF('P7'!B11="","",'P7'!B11)</f>
        <v>0</v>
      </c>
      <c r="E12" s="29" t="str">
        <f aca="false">'P7'!$D$27</f>
        <v/>
      </c>
      <c r="F12" s="30" t="str">
        <f aca="false">IF(E12="","",RANK(E12,$E$6:$E$13))</f>
        <v/>
      </c>
      <c r="G12" s="31" t="str">
        <f aca="false">IFERROR(E12/(C12/100000),"")</f>
        <v/>
      </c>
      <c r="H12" s="32" t="str">
        <f aca="false">IF('P7'!$B$22="","",'P7'!$B$22)</f>
        <v/>
      </c>
      <c r="I12" s="32" t="str">
        <f aca="false">IF('P7'!$B$25="","",'P7'!$B$25)</f>
        <v/>
      </c>
      <c r="J12" s="32" t="str">
        <f aca="false">IF('P7'!$B$21="","",'P7'!$B$21)</f>
        <v/>
      </c>
      <c r="K12" s="26" t="str">
        <f aca="false">IF('P7'!B14="","",'P7'!B14)</f>
        <v/>
      </c>
    </row>
    <row r="13" customFormat="false" ht="15" hidden="false" customHeight="false" outlineLevel="0" collapsed="false">
      <c r="A13" s="18" t="s">
        <v>223</v>
      </c>
      <c r="B13" s="33" t="str">
        <f aca="false">IF('P8'!B6="","",'P8'!B6)</f>
        <v/>
      </c>
      <c r="C13" s="34" t="n">
        <f aca="false">IF('P8'!B10="","",'P8'!B10)</f>
        <v>0</v>
      </c>
      <c r="D13" s="35" t="n">
        <f aca="false">IF('P8'!B11="","",'P8'!B11)</f>
        <v>0</v>
      </c>
      <c r="E13" s="36" t="str">
        <f aca="false">'P8'!$D$27</f>
        <v/>
      </c>
      <c r="F13" s="37" t="str">
        <f aca="false">IF(E13="","",RANK(E13,$E$6:$E$13))</f>
        <v/>
      </c>
      <c r="G13" s="38" t="str">
        <f aca="false">IFERROR(E13/(C13/100000),"")</f>
        <v/>
      </c>
      <c r="H13" s="39" t="str">
        <f aca="false">IF('P8'!$B$22="","",'P8'!$B$22)</f>
        <v/>
      </c>
      <c r="I13" s="39" t="str">
        <f aca="false">IF('P8'!$B$25="","",'P8'!$B$25)</f>
        <v/>
      </c>
      <c r="J13" s="39" t="str">
        <f aca="false">IF('P8'!$B$21="","",'P8'!$B$21)</f>
        <v/>
      </c>
      <c r="K13" s="33" t="str">
        <f aca="false">IF('P8'!B14="","",'P8'!B14)</f>
        <v/>
      </c>
    </row>
    <row r="14" customFormat="false" ht="15" hidden="false" customHeight="false" outlineLevel="0" collapsed="false">
      <c r="A14" s="40"/>
      <c r="B14" s="40" t="s">
        <v>224</v>
      </c>
      <c r="C14" s="41" t="n">
        <f aca="false">SUM(C6:C13)</f>
        <v>84000</v>
      </c>
      <c r="D14" s="42"/>
      <c r="E14" s="43" t="n">
        <f aca="false">IFERROR(AVERAGE(E6:E13),"")</f>
        <v>3.5</v>
      </c>
      <c r="F14" s="42"/>
      <c r="G14" s="42"/>
      <c r="H14" s="42"/>
      <c r="I14" s="42"/>
      <c r="J14" s="42"/>
      <c r="K14" s="42"/>
    </row>
    <row r="17" customFormat="false" ht="18" hidden="false" customHeight="true" outlineLevel="0" collapsed="false">
      <c r="A17" s="3" t="s">
        <v>225</v>
      </c>
      <c r="B17" s="4"/>
      <c r="C17" s="4"/>
      <c r="D17" s="4"/>
      <c r="E17" s="4"/>
      <c r="F17" s="4"/>
      <c r="G17" s="4"/>
      <c r="H17" s="4"/>
      <c r="I17" s="4"/>
      <c r="J17" s="4"/>
      <c r="K17" s="4"/>
    </row>
    <row r="18" customFormat="false" ht="30" hidden="false" customHeight="true" outlineLevel="0" collapsed="false">
      <c r="A18" s="5" t="s">
        <v>226</v>
      </c>
      <c r="B18" s="5"/>
      <c r="C18" s="5"/>
      <c r="D18" s="5"/>
      <c r="E18" s="5"/>
      <c r="F18" s="5"/>
      <c r="G18" s="5"/>
      <c r="H18" s="5"/>
      <c r="I18" s="5"/>
      <c r="J18" s="5"/>
      <c r="K18" s="5"/>
    </row>
    <row r="19" customFormat="false" ht="30" hidden="false" customHeight="true" outlineLevel="0" collapsed="false">
      <c r="A19" s="5" t="s">
        <v>227</v>
      </c>
      <c r="B19" s="5"/>
      <c r="C19" s="5"/>
      <c r="D19" s="5"/>
      <c r="E19" s="5"/>
      <c r="F19" s="5"/>
      <c r="G19" s="5"/>
      <c r="H19" s="5"/>
      <c r="I19" s="5"/>
      <c r="J19" s="5"/>
      <c r="K19" s="5"/>
    </row>
  </sheetData>
  <mergeCells count="4">
    <mergeCell ref="A1:K1"/>
    <mergeCell ref="A2:K2"/>
    <mergeCell ref="A18:K18"/>
    <mergeCell ref="A19:K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6"/>
    <col collapsed="false" customWidth="true" hidden="false" outlineLevel="0" max="4" min="4" style="0" width="14"/>
    <col collapsed="false" customWidth="true" hidden="false" outlineLevel="0" max="5" min="5" style="0" width="60"/>
    <col collapsed="false" customWidth="true" hidden="false" outlineLevel="0" max="6" min="6" style="0" width="44"/>
  </cols>
  <sheetData>
    <row r="1" customFormat="false" ht="21.75" hidden="false" customHeight="true" outlineLevel="0" collapsed="false">
      <c r="A1" s="1" t="s">
        <v>228</v>
      </c>
      <c r="B1" s="1"/>
      <c r="C1" s="1"/>
      <c r="D1" s="1"/>
      <c r="E1" s="1"/>
      <c r="F1" s="1"/>
    </row>
    <row r="2" customFormat="false" ht="15" hidden="false" customHeight="false" outlineLevel="0" collapsed="false">
      <c r="A2" s="2" t="s">
        <v>229</v>
      </c>
      <c r="B2" s="2"/>
      <c r="C2" s="2"/>
      <c r="D2" s="2"/>
      <c r="E2" s="2"/>
      <c r="F2" s="2"/>
    </row>
    <row r="4" customFormat="false" ht="18" hidden="false" customHeight="true" outlineLevel="0" collapsed="false">
      <c r="A4" s="3" t="s">
        <v>230</v>
      </c>
      <c r="B4" s="4"/>
      <c r="C4" s="4"/>
      <c r="D4" s="4"/>
      <c r="E4" s="4"/>
      <c r="F4" s="4"/>
    </row>
    <row r="5" customFormat="false" ht="30" hidden="false" customHeight="true" outlineLevel="0" collapsed="false">
      <c r="A5" s="6" t="s">
        <v>231</v>
      </c>
      <c r="B5" s="6" t="s">
        <v>232</v>
      </c>
      <c r="C5" s="6" t="s">
        <v>233</v>
      </c>
      <c r="D5" s="6" t="s">
        <v>234</v>
      </c>
      <c r="E5" s="6" t="s">
        <v>235</v>
      </c>
      <c r="F5" s="6" t="s">
        <v>236</v>
      </c>
    </row>
    <row r="6" customFormat="false" ht="60" hidden="false" customHeight="true" outlineLevel="0" collapsed="false">
      <c r="A6" s="7" t="s">
        <v>237</v>
      </c>
      <c r="B6" s="7" t="s">
        <v>238</v>
      </c>
      <c r="C6" s="7" t="s">
        <v>239</v>
      </c>
      <c r="D6" s="44" t="n">
        <v>0</v>
      </c>
      <c r="E6" s="7" t="s">
        <v>240</v>
      </c>
      <c r="F6" s="7" t="s">
        <v>241</v>
      </c>
    </row>
    <row r="7" customFormat="false" ht="60" hidden="false" customHeight="true" outlineLevel="0" collapsed="false">
      <c r="A7" s="18" t="s">
        <v>242</v>
      </c>
      <c r="B7" s="18"/>
      <c r="C7" s="18"/>
      <c r="D7" s="45" t="n">
        <v>0</v>
      </c>
      <c r="E7" s="18"/>
      <c r="F7" s="18"/>
    </row>
    <row r="8" customFormat="false" ht="60" hidden="false" customHeight="true" outlineLevel="0" collapsed="false">
      <c r="A8" s="7" t="s">
        <v>243</v>
      </c>
      <c r="B8" s="7"/>
      <c r="C8" s="7"/>
      <c r="D8" s="44" t="n">
        <v>0</v>
      </c>
      <c r="E8" s="7"/>
      <c r="F8" s="7"/>
    </row>
    <row r="9" customFormat="false" ht="60" hidden="false" customHeight="true" outlineLevel="0" collapsed="false">
      <c r="A9" s="18" t="s">
        <v>244</v>
      </c>
      <c r="B9" s="18"/>
      <c r="C9" s="18" t="s">
        <v>245</v>
      </c>
      <c r="D9" s="45" t="n">
        <v>0</v>
      </c>
      <c r="E9" s="18" t="s">
        <v>246</v>
      </c>
      <c r="F9" s="18" t="s">
        <v>247</v>
      </c>
    </row>
    <row r="10" customFormat="false" ht="15" hidden="false" customHeight="false" outlineLevel="0" collapsed="false">
      <c r="A10" s="22"/>
      <c r="B10" s="22" t="s">
        <v>154</v>
      </c>
      <c r="C10" s="22"/>
      <c r="D10" s="46" t="n">
        <f aca="false">SUM(D6:D9)</f>
        <v>0</v>
      </c>
    </row>
    <row r="12" customFormat="false" ht="18" hidden="false" customHeight="true" outlineLevel="0" collapsed="false">
      <c r="A12" s="3" t="s">
        <v>248</v>
      </c>
      <c r="B12" s="4"/>
      <c r="C12" s="4"/>
      <c r="D12" s="4"/>
      <c r="E12" s="4"/>
      <c r="F12" s="4"/>
    </row>
    <row r="13" customFormat="false" ht="30" hidden="false" customHeight="true" outlineLevel="0" collapsed="false">
      <c r="A13" s="6" t="s">
        <v>249</v>
      </c>
      <c r="B13" s="6" t="s">
        <v>250</v>
      </c>
      <c r="C13" s="6" t="s">
        <v>251</v>
      </c>
      <c r="D13" s="6" t="s">
        <v>252</v>
      </c>
      <c r="E13" s="6" t="s">
        <v>253</v>
      </c>
      <c r="F13" s="6" t="s">
        <v>254</v>
      </c>
    </row>
    <row r="14" customFormat="false" ht="39.75" hidden="false" customHeight="true" outlineLevel="0" collapsed="false">
      <c r="A14" s="7"/>
      <c r="B14" s="7"/>
      <c r="C14" s="7"/>
      <c r="D14" s="7"/>
      <c r="E14" s="7"/>
      <c r="F14" s="7"/>
    </row>
    <row r="15" customFormat="false" ht="39.75" hidden="false" customHeight="true" outlineLevel="0" collapsed="false">
      <c r="A15" s="18"/>
      <c r="B15" s="18"/>
      <c r="C15" s="18"/>
      <c r="D15" s="18"/>
      <c r="E15" s="18"/>
      <c r="F15" s="18"/>
    </row>
    <row r="16" customFormat="false" ht="39.75" hidden="false" customHeight="true" outlineLevel="0" collapsed="false">
      <c r="A16" s="7"/>
      <c r="B16" s="7"/>
      <c r="C16" s="7"/>
      <c r="D16" s="7"/>
      <c r="E16" s="7"/>
      <c r="F16" s="7"/>
    </row>
    <row r="17" customFormat="false" ht="39.75" hidden="false" customHeight="true" outlineLevel="0" collapsed="false">
      <c r="A17" s="18"/>
      <c r="B17" s="18"/>
      <c r="C17" s="18"/>
      <c r="D17" s="18"/>
      <c r="E17" s="18"/>
      <c r="F17" s="18"/>
    </row>
    <row r="18" customFormat="false" ht="39.75" hidden="false" customHeight="true" outlineLevel="0" collapsed="false">
      <c r="A18" s="7"/>
      <c r="B18" s="7"/>
      <c r="C18" s="7"/>
      <c r="D18" s="7"/>
      <c r="E18" s="7"/>
      <c r="F18" s="7"/>
    </row>
    <row r="19" customFormat="false" ht="39.75" hidden="false" customHeight="true" outlineLevel="0" collapsed="false">
      <c r="A19" s="18"/>
      <c r="B19" s="18"/>
      <c r="C19" s="18"/>
      <c r="D19" s="18"/>
      <c r="E19" s="18"/>
      <c r="F19" s="18"/>
    </row>
    <row r="21" customFormat="false" ht="18" hidden="false" customHeight="true" outlineLevel="0" collapsed="false">
      <c r="A21" s="3" t="s">
        <v>255</v>
      </c>
      <c r="B21" s="4"/>
      <c r="C21" s="4"/>
      <c r="D21" s="4"/>
      <c r="E21" s="4"/>
      <c r="F21" s="4"/>
    </row>
    <row r="22" customFormat="false" ht="30" hidden="false" customHeight="true" outlineLevel="0" collapsed="false">
      <c r="A22" s="6" t="s">
        <v>256</v>
      </c>
      <c r="B22" s="6" t="s">
        <v>257</v>
      </c>
      <c r="C22" s="6" t="s">
        <v>258</v>
      </c>
      <c r="D22" s="6"/>
      <c r="E22" s="6" t="s">
        <v>259</v>
      </c>
      <c r="F22" s="6"/>
    </row>
    <row r="23" customFormat="false" ht="36" hidden="false" customHeight="true" outlineLevel="0" collapsed="false">
      <c r="A23" s="7" t="s">
        <v>260</v>
      </c>
      <c r="B23" s="7"/>
      <c r="C23" s="7"/>
      <c r="D23" s="7"/>
      <c r="E23" s="7"/>
      <c r="F23" s="7"/>
    </row>
    <row r="24" customFormat="false" ht="36" hidden="false" customHeight="true" outlineLevel="0" collapsed="false">
      <c r="A24" s="18" t="s">
        <v>261</v>
      </c>
      <c r="B24" s="18"/>
      <c r="C24" s="18"/>
      <c r="D24" s="18"/>
      <c r="E24" s="18"/>
      <c r="F24" s="18"/>
    </row>
    <row r="25" customFormat="false" ht="36" hidden="false" customHeight="true" outlineLevel="0" collapsed="false">
      <c r="A25" s="7" t="s">
        <v>262</v>
      </c>
      <c r="B25" s="7"/>
      <c r="C25" s="7"/>
      <c r="D25" s="7"/>
      <c r="E25" s="7"/>
      <c r="F25" s="7"/>
    </row>
    <row r="26" customFormat="false" ht="36" hidden="false" customHeight="true" outlineLevel="0" collapsed="false">
      <c r="A26" s="18" t="s">
        <v>263</v>
      </c>
      <c r="B26" s="18"/>
      <c r="C26" s="18"/>
      <c r="D26" s="18"/>
      <c r="E26" s="18"/>
      <c r="F26" s="18"/>
    </row>
  </sheetData>
  <mergeCells count="10">
    <mergeCell ref="A1:F1"/>
    <mergeCell ref="A2:F2"/>
    <mergeCell ref="C23:D23"/>
    <mergeCell ref="E23:F23"/>
    <mergeCell ref="C24:D24"/>
    <mergeCell ref="E24:F24"/>
    <mergeCell ref="C25:D25"/>
    <mergeCell ref="E25:F25"/>
    <mergeCell ref="C26:D26"/>
    <mergeCell ref="E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8"/>
    <col collapsed="false" customWidth="true" hidden="false" outlineLevel="0" max="3" min="3" style="0" width="56"/>
    <col collapsed="false" customWidth="true" hidden="false" outlineLevel="0" max="5" min="4" style="0" width="12"/>
    <col collapsed="false" customWidth="true" hidden="false" outlineLevel="0" max="6" min="6" style="0" width="8"/>
    <col collapsed="false" customWidth="true" hidden="false" outlineLevel="0" max="7" min="7" style="0" width="62"/>
    <col collapsed="false" customWidth="true" hidden="false" outlineLevel="0" max="8" min="8" style="0" width="22"/>
    <col collapsed="false" customWidth="true" hidden="false" outlineLevel="0" max="9" min="9" style="0" width="12"/>
    <col collapsed="false" customWidth="true" hidden="false" outlineLevel="0" max="10" min="10" style="0" width="10"/>
  </cols>
  <sheetData>
    <row r="1" customFormat="false" ht="21.75" hidden="false" customHeight="true" outlineLevel="0" collapsed="false">
      <c r="A1" s="1" t="s">
        <v>264</v>
      </c>
      <c r="B1" s="1"/>
      <c r="C1" s="1"/>
      <c r="D1" s="1"/>
      <c r="E1" s="1"/>
      <c r="F1" s="1"/>
      <c r="G1" s="1"/>
      <c r="H1" s="1"/>
      <c r="I1" s="1"/>
      <c r="J1" s="1"/>
    </row>
    <row r="2" customFormat="false" ht="15" hidden="false" customHeight="false" outlineLevel="0" collapsed="false">
      <c r="A2" s="2" t="s">
        <v>265</v>
      </c>
      <c r="B2" s="2"/>
      <c r="C2" s="2"/>
      <c r="D2" s="2"/>
      <c r="E2" s="2"/>
      <c r="F2" s="2"/>
      <c r="G2" s="2"/>
      <c r="H2" s="2"/>
      <c r="I2" s="2"/>
      <c r="J2" s="2"/>
    </row>
    <row r="4" customFormat="false" ht="18" hidden="false" customHeight="true" outlineLevel="0" collapsed="false">
      <c r="A4" s="3" t="s">
        <v>266</v>
      </c>
      <c r="B4" s="4"/>
      <c r="C4" s="4"/>
      <c r="D4" s="4"/>
      <c r="E4" s="4"/>
      <c r="F4" s="4"/>
      <c r="G4" s="4"/>
      <c r="H4" s="4"/>
      <c r="I4" s="4"/>
      <c r="J4" s="4"/>
    </row>
    <row r="5" customFormat="false" ht="30" hidden="false" customHeight="true" outlineLevel="0" collapsed="false">
      <c r="A5" s="6" t="s">
        <v>207</v>
      </c>
      <c r="B5" s="6" t="s">
        <v>208</v>
      </c>
      <c r="C5" s="6" t="s">
        <v>267</v>
      </c>
      <c r="D5" s="6" t="s">
        <v>268</v>
      </c>
      <c r="E5" s="6" t="s">
        <v>269</v>
      </c>
      <c r="F5" s="6" t="s">
        <v>270</v>
      </c>
      <c r="G5" s="6" t="s">
        <v>271</v>
      </c>
      <c r="H5" s="6" t="s">
        <v>254</v>
      </c>
      <c r="I5" s="6" t="s">
        <v>272</v>
      </c>
      <c r="J5" s="6" t="s">
        <v>273</v>
      </c>
    </row>
    <row r="6" customFormat="false" ht="31.5" hidden="false" customHeight="true" outlineLevel="0" collapsed="false">
      <c r="A6" s="7" t="s">
        <v>274</v>
      </c>
      <c r="B6" s="7" t="s">
        <v>216</v>
      </c>
      <c r="C6" s="7" t="s">
        <v>275</v>
      </c>
      <c r="D6" s="47" t="s">
        <v>276</v>
      </c>
      <c r="E6" s="47" t="s">
        <v>277</v>
      </c>
      <c r="F6" s="48" t="n">
        <v>8</v>
      </c>
      <c r="G6" s="7" t="s">
        <v>278</v>
      </c>
      <c r="H6" s="7" t="s">
        <v>279</v>
      </c>
      <c r="I6" s="7" t="s">
        <v>280</v>
      </c>
      <c r="J6" s="49" t="n">
        <v>3</v>
      </c>
    </row>
    <row r="7" customFormat="false" ht="31.5" hidden="false" customHeight="true" outlineLevel="0" collapsed="false">
      <c r="A7" s="18" t="s">
        <v>281</v>
      </c>
      <c r="B7" s="18" t="s">
        <v>216</v>
      </c>
      <c r="C7" s="18" t="s">
        <v>282</v>
      </c>
      <c r="D7" s="50" t="s">
        <v>283</v>
      </c>
      <c r="E7" s="50" t="s">
        <v>276</v>
      </c>
      <c r="F7" s="48" t="n">
        <v>6</v>
      </c>
      <c r="G7" s="18" t="s">
        <v>284</v>
      </c>
      <c r="H7" s="18" t="s">
        <v>263</v>
      </c>
      <c r="I7" s="18" t="s">
        <v>280</v>
      </c>
      <c r="J7" s="49" t="n">
        <v>2</v>
      </c>
    </row>
    <row r="8" customFormat="false" ht="31.5" hidden="false" customHeight="true" outlineLevel="0" collapsed="false">
      <c r="A8" s="7" t="s">
        <v>285</v>
      </c>
      <c r="B8" s="7" t="s">
        <v>216</v>
      </c>
      <c r="C8" s="7" t="s">
        <v>286</v>
      </c>
      <c r="D8" s="47" t="s">
        <v>276</v>
      </c>
      <c r="E8" s="47" t="s">
        <v>283</v>
      </c>
      <c r="F8" s="48" t="n">
        <v>6</v>
      </c>
      <c r="G8" s="7" t="s">
        <v>287</v>
      </c>
      <c r="H8" s="7" t="s">
        <v>288</v>
      </c>
      <c r="I8" s="7"/>
      <c r="J8" s="51"/>
    </row>
    <row r="9" customFormat="false" ht="31.5" hidden="false" customHeight="true" outlineLevel="0" collapsed="false">
      <c r="A9" s="18" t="s">
        <v>289</v>
      </c>
      <c r="B9" s="18" t="s">
        <v>216</v>
      </c>
      <c r="C9" s="18" t="s">
        <v>290</v>
      </c>
      <c r="D9" s="50" t="s">
        <v>283</v>
      </c>
      <c r="E9" s="50" t="s">
        <v>276</v>
      </c>
      <c r="F9" s="48" t="n">
        <v>6</v>
      </c>
      <c r="G9" s="18" t="s">
        <v>291</v>
      </c>
      <c r="H9" s="18" t="s">
        <v>292</v>
      </c>
      <c r="I9" s="18"/>
      <c r="J9" s="51"/>
    </row>
    <row r="11" customFormat="false" ht="15" hidden="false" customHeight="false" outlineLevel="0" collapsed="false">
      <c r="A11" s="2" t="s">
        <v>293</v>
      </c>
      <c r="B11" s="2"/>
      <c r="C11" s="2"/>
      <c r="D11" s="2"/>
      <c r="E11" s="2"/>
      <c r="F11" s="2"/>
      <c r="G11" s="2"/>
      <c r="H11" s="2"/>
      <c r="I11" s="2"/>
      <c r="J11" s="2"/>
    </row>
  </sheetData>
  <mergeCells count="3">
    <mergeCell ref="A1:J1"/>
    <mergeCell ref="A2:J2"/>
    <mergeCell ref="A11:J11"/>
  </mergeCells>
  <dataValidations count="1">
    <dataValidation allowBlank="true" error="Pick a value from the list." errorStyle="stop" operator="between" showDropDown="false" showErrorMessage="false" showInputMessage="false" sqref="I6:I9" type="list">
      <formula1>"Mitigate,Accept,Transfer,Avoid"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6"/>
    <col collapsed="false" customWidth="true" hidden="false" outlineLevel="0" max="4" min="4" style="0" width="66"/>
    <col collapsed="false" customWidth="true" hidden="false" outlineLevel="0" max="5" min="5" style="0" width="56"/>
    <col collapsed="false" customWidth="true" hidden="false" outlineLevel="0" max="6" min="6" style="0" width="24"/>
    <col collapsed="false" customWidth="true" hidden="false" outlineLevel="0" max="7" min="7" style="0" width="14"/>
  </cols>
  <sheetData>
    <row r="1" customFormat="false" ht="21.75" hidden="false" customHeight="true" outlineLevel="0" collapsed="false">
      <c r="A1" s="1" t="s">
        <v>294</v>
      </c>
      <c r="B1" s="1"/>
      <c r="C1" s="1"/>
      <c r="D1" s="1"/>
      <c r="E1" s="1"/>
      <c r="F1" s="1"/>
      <c r="G1" s="1"/>
    </row>
    <row r="2" customFormat="false" ht="15" hidden="false" customHeight="false" outlineLevel="0" collapsed="false">
      <c r="A2" s="2" t="s">
        <v>295</v>
      </c>
      <c r="B2" s="2"/>
      <c r="C2" s="2"/>
      <c r="D2" s="2"/>
      <c r="E2" s="2"/>
      <c r="F2" s="2"/>
      <c r="G2" s="2"/>
    </row>
    <row r="4" customFormat="false" ht="18" hidden="false" customHeight="true" outlineLevel="0" collapsed="false">
      <c r="A4" s="3" t="s">
        <v>296</v>
      </c>
      <c r="B4" s="4"/>
      <c r="C4" s="4"/>
      <c r="D4" s="4"/>
      <c r="E4" s="4"/>
      <c r="F4" s="4"/>
      <c r="G4" s="4"/>
    </row>
    <row r="5" customFormat="false" ht="30" hidden="false" customHeight="true" outlineLevel="0" collapsed="false">
      <c r="A5" s="6" t="s">
        <v>207</v>
      </c>
      <c r="B5" s="6" t="s">
        <v>208</v>
      </c>
      <c r="C5" s="6" t="s">
        <v>297</v>
      </c>
      <c r="D5" s="6" t="s">
        <v>298</v>
      </c>
      <c r="E5" s="6" t="s">
        <v>299</v>
      </c>
      <c r="F5" s="6" t="s">
        <v>300</v>
      </c>
      <c r="G5" s="6" t="s">
        <v>115</v>
      </c>
    </row>
    <row r="6" customFormat="false" ht="39.75" hidden="false" customHeight="true" outlineLevel="0" collapsed="false">
      <c r="A6" s="7" t="s">
        <v>301</v>
      </c>
      <c r="B6" s="7"/>
      <c r="C6" s="7"/>
      <c r="D6" s="7"/>
      <c r="E6" s="7"/>
      <c r="F6" s="7"/>
      <c r="G6" s="52" t="s">
        <v>302</v>
      </c>
    </row>
    <row r="7" customFormat="false" ht="39.75" hidden="false" customHeight="true" outlineLevel="0" collapsed="false">
      <c r="A7" s="18" t="s">
        <v>303</v>
      </c>
      <c r="B7" s="18"/>
      <c r="C7" s="18"/>
      <c r="D7" s="18"/>
      <c r="E7" s="18"/>
      <c r="F7" s="18"/>
      <c r="G7" s="52" t="s">
        <v>302</v>
      </c>
    </row>
    <row r="8" customFormat="false" ht="39.75" hidden="false" customHeight="true" outlineLevel="0" collapsed="false">
      <c r="A8" s="7" t="s">
        <v>304</v>
      </c>
      <c r="B8" s="7"/>
      <c r="C8" s="7"/>
      <c r="D8" s="7"/>
      <c r="E8" s="7"/>
      <c r="F8" s="7"/>
      <c r="G8" s="52" t="s">
        <v>302</v>
      </c>
    </row>
    <row r="9" customFormat="false" ht="39.75" hidden="false" customHeight="true" outlineLevel="0" collapsed="false">
      <c r="A9" s="18" t="s">
        <v>305</v>
      </c>
      <c r="B9" s="18"/>
      <c r="C9" s="18"/>
      <c r="D9" s="18"/>
      <c r="E9" s="18"/>
      <c r="F9" s="18"/>
      <c r="G9" s="52" t="s">
        <v>302</v>
      </c>
    </row>
    <row r="10" customFormat="false" ht="39.75" hidden="false" customHeight="true" outlineLevel="0" collapsed="false">
      <c r="A10" s="7" t="s">
        <v>306</v>
      </c>
      <c r="B10" s="7"/>
      <c r="C10" s="7"/>
      <c r="D10" s="7"/>
      <c r="E10" s="7"/>
      <c r="F10" s="7"/>
      <c r="G10" s="52" t="s">
        <v>302</v>
      </c>
    </row>
    <row r="11" customFormat="false" ht="39.75" hidden="false" customHeight="true" outlineLevel="0" collapsed="false">
      <c r="A11" s="18" t="s">
        <v>307</v>
      </c>
      <c r="B11" s="18"/>
      <c r="C11" s="18"/>
      <c r="D11" s="18"/>
      <c r="E11" s="18"/>
      <c r="F11" s="18"/>
      <c r="G11" s="52" t="s">
        <v>302</v>
      </c>
    </row>
    <row r="12" customFormat="false" ht="39.75" hidden="false" customHeight="true" outlineLevel="0" collapsed="false">
      <c r="A12" s="7" t="s">
        <v>308</v>
      </c>
      <c r="B12" s="7"/>
      <c r="C12" s="7"/>
      <c r="D12" s="7"/>
      <c r="E12" s="7"/>
      <c r="F12" s="7"/>
      <c r="G12" s="52" t="s">
        <v>302</v>
      </c>
    </row>
    <row r="13" customFormat="false" ht="39.75" hidden="false" customHeight="true" outlineLevel="0" collapsed="false">
      <c r="A13" s="18" t="s">
        <v>309</v>
      </c>
      <c r="B13" s="18"/>
      <c r="C13" s="18"/>
      <c r="D13" s="18"/>
      <c r="E13" s="18"/>
      <c r="F13" s="18"/>
      <c r="G13" s="52" t="s">
        <v>302</v>
      </c>
    </row>
    <row r="14" customFormat="false" ht="39.75" hidden="false" customHeight="true" outlineLevel="0" collapsed="false">
      <c r="A14" s="7" t="s">
        <v>310</v>
      </c>
      <c r="B14" s="7"/>
      <c r="C14" s="7"/>
      <c r="D14" s="7"/>
      <c r="E14" s="7"/>
      <c r="F14" s="7"/>
      <c r="G14" s="52" t="s">
        <v>302</v>
      </c>
    </row>
    <row r="15" customFormat="false" ht="39.75" hidden="false" customHeight="true" outlineLevel="0" collapsed="false">
      <c r="A15" s="18" t="s">
        <v>311</v>
      </c>
      <c r="B15" s="18"/>
      <c r="C15" s="18"/>
      <c r="D15" s="18"/>
      <c r="E15" s="18"/>
      <c r="F15" s="18"/>
      <c r="G15" s="52" t="s">
        <v>302</v>
      </c>
    </row>
    <row r="16" customFormat="false" ht="39.75" hidden="false" customHeight="true" outlineLevel="0" collapsed="false">
      <c r="A16" s="7" t="s">
        <v>312</v>
      </c>
      <c r="B16" s="7"/>
      <c r="C16" s="7"/>
      <c r="D16" s="7"/>
      <c r="E16" s="7"/>
      <c r="F16" s="7"/>
      <c r="G16" s="52" t="s">
        <v>302</v>
      </c>
    </row>
    <row r="17" customFormat="false" ht="39.75" hidden="false" customHeight="true" outlineLevel="0" collapsed="false">
      <c r="A17" s="18" t="s">
        <v>313</v>
      </c>
      <c r="B17" s="18"/>
      <c r="C17" s="18"/>
      <c r="D17" s="18"/>
      <c r="E17" s="18"/>
      <c r="F17" s="18"/>
      <c r="G17" s="52" t="s">
        <v>302</v>
      </c>
    </row>
    <row r="18" customFormat="false" ht="39.75" hidden="false" customHeight="true" outlineLevel="0" collapsed="false">
      <c r="A18" s="7" t="s">
        <v>314</v>
      </c>
      <c r="B18" s="7"/>
      <c r="C18" s="7"/>
      <c r="D18" s="7"/>
      <c r="E18" s="7"/>
      <c r="F18" s="7"/>
      <c r="G18" s="52" t="s">
        <v>302</v>
      </c>
    </row>
    <row r="19" customFormat="false" ht="39.75" hidden="false" customHeight="true" outlineLevel="0" collapsed="false">
      <c r="A19" s="18" t="s">
        <v>315</v>
      </c>
      <c r="B19" s="18"/>
      <c r="C19" s="18"/>
      <c r="D19" s="18"/>
      <c r="E19" s="18"/>
      <c r="F19" s="18"/>
      <c r="G19" s="52" t="s">
        <v>302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5"/>
    <col collapsed="false" customWidth="true" hidden="false" outlineLevel="0" max="5" min="4" style="0" width="20"/>
    <col collapsed="false" customWidth="true" hidden="false" outlineLevel="0" max="6" min="6" style="0" width="15"/>
    <col collapsed="false" customWidth="true" hidden="false" outlineLevel="0" max="7" min="7" style="0" width="18"/>
    <col collapsed="false" customWidth="true" hidden="false" outlineLevel="0" max="8" min="8" style="0" width="54"/>
  </cols>
  <sheetData>
    <row r="1" customFormat="false" ht="21.75" hidden="false" customHeight="true" outlineLevel="0" collapsed="false">
      <c r="A1" s="1" t="s">
        <v>316</v>
      </c>
      <c r="B1" s="1"/>
      <c r="C1" s="1"/>
      <c r="D1" s="1"/>
      <c r="E1" s="1"/>
      <c r="F1" s="1"/>
      <c r="G1" s="1"/>
      <c r="H1" s="1"/>
    </row>
    <row r="2" customFormat="false" ht="15" hidden="false" customHeight="false" outlineLevel="0" collapsed="false">
      <c r="A2" s="2" t="s">
        <v>317</v>
      </c>
      <c r="B2" s="2"/>
      <c r="C2" s="2"/>
      <c r="D2" s="2"/>
      <c r="E2" s="2"/>
      <c r="F2" s="2"/>
      <c r="G2" s="2"/>
      <c r="H2" s="2"/>
    </row>
    <row r="4" customFormat="false" ht="18" hidden="false" customHeight="true" outlineLevel="0" collapsed="false">
      <c r="A4" s="3" t="s">
        <v>318</v>
      </c>
      <c r="B4" s="4"/>
      <c r="C4" s="4"/>
      <c r="D4" s="4"/>
      <c r="E4" s="4"/>
      <c r="F4" s="4"/>
      <c r="G4" s="4"/>
      <c r="H4" s="4"/>
    </row>
    <row r="5" customFormat="false" ht="30" hidden="false" customHeight="true" outlineLevel="0" collapsed="false">
      <c r="A5" s="6" t="s">
        <v>207</v>
      </c>
      <c r="B5" s="6" t="s">
        <v>208</v>
      </c>
      <c r="C5" s="6" t="s">
        <v>319</v>
      </c>
      <c r="D5" s="6" t="s">
        <v>320</v>
      </c>
      <c r="E5" s="6" t="s">
        <v>321</v>
      </c>
      <c r="F5" s="6" t="s">
        <v>322</v>
      </c>
      <c r="G5" s="6" t="s">
        <v>323</v>
      </c>
      <c r="H5" s="6" t="s">
        <v>324</v>
      </c>
    </row>
    <row r="6" customFormat="false" ht="39.75" hidden="false" customHeight="true" outlineLevel="0" collapsed="false">
      <c r="A6" s="7" t="s">
        <v>216</v>
      </c>
      <c r="B6" s="53" t="str">
        <f aca="false">IF('P1'!B6="","",'P1'!B6)</f>
        <v>EXAMPLE  Replace nightly batch export with event streaming</v>
      </c>
      <c r="C6" s="27" t="n">
        <f aca="false">'P1'!B10</f>
        <v>84000</v>
      </c>
      <c r="D6" s="54" t="n">
        <v>0</v>
      </c>
      <c r="E6" s="54" t="n">
        <v>0</v>
      </c>
      <c r="F6" s="55" t="str">
        <f aca="false">IFERROR(E6/D6,"")</f>
        <v/>
      </c>
      <c r="G6" s="56" t="str">
        <f aca="false">IFERROR(C6/(E6/12),"Awaiting baseline")</f>
        <v>Awaiting baseline</v>
      </c>
      <c r="H6" s="7" t="s">
        <v>325</v>
      </c>
    </row>
    <row r="7" customFormat="false" ht="39.75" hidden="false" customHeight="true" outlineLevel="0" collapsed="false">
      <c r="A7" s="18" t="s">
        <v>217</v>
      </c>
      <c r="B7" s="57" t="str">
        <f aca="false">IF('P2'!B6="","",'P2'!B6)</f>
        <v/>
      </c>
      <c r="C7" s="34" t="n">
        <f aca="false">'P2'!B10</f>
        <v>0</v>
      </c>
      <c r="D7" s="54" t="n">
        <v>0</v>
      </c>
      <c r="E7" s="54" t="n">
        <v>0</v>
      </c>
      <c r="F7" s="58" t="str">
        <f aca="false">IFERROR(E7/D7,"")</f>
        <v/>
      </c>
      <c r="G7" s="59" t="str">
        <f aca="false">IFERROR(C7/(E7/12),"Awaiting baseline")</f>
        <v>Awaiting baseline</v>
      </c>
      <c r="H7" s="18"/>
    </row>
    <row r="8" customFormat="false" ht="39.75" hidden="false" customHeight="true" outlineLevel="0" collapsed="false">
      <c r="A8" s="7" t="s">
        <v>218</v>
      </c>
      <c r="B8" s="53" t="str">
        <f aca="false">IF('P3'!B6="","",'P3'!B6)</f>
        <v/>
      </c>
      <c r="C8" s="27" t="n">
        <f aca="false">'P3'!B10</f>
        <v>0</v>
      </c>
      <c r="D8" s="54" t="n">
        <v>0</v>
      </c>
      <c r="E8" s="54" t="n">
        <v>0</v>
      </c>
      <c r="F8" s="55" t="str">
        <f aca="false">IFERROR(E8/D8,"")</f>
        <v/>
      </c>
      <c r="G8" s="56" t="str">
        <f aca="false">IFERROR(C8/(E8/12),"Awaiting baseline")</f>
        <v>Awaiting baseline</v>
      </c>
      <c r="H8" s="7"/>
    </row>
    <row r="9" customFormat="false" ht="39.75" hidden="false" customHeight="true" outlineLevel="0" collapsed="false">
      <c r="A9" s="18" t="s">
        <v>219</v>
      </c>
      <c r="B9" s="57" t="str">
        <f aca="false">IF('P4'!B6="","",'P4'!B6)</f>
        <v/>
      </c>
      <c r="C9" s="34" t="n">
        <f aca="false">'P4'!B10</f>
        <v>0</v>
      </c>
      <c r="D9" s="54" t="n">
        <v>0</v>
      </c>
      <c r="E9" s="54" t="n">
        <v>0</v>
      </c>
      <c r="F9" s="58" t="str">
        <f aca="false">IFERROR(E9/D9,"")</f>
        <v/>
      </c>
      <c r="G9" s="59" t="str">
        <f aca="false">IFERROR(C9/(E9/12),"Awaiting baseline")</f>
        <v>Awaiting baseline</v>
      </c>
      <c r="H9" s="18"/>
    </row>
    <row r="10" customFormat="false" ht="39.75" hidden="false" customHeight="true" outlineLevel="0" collapsed="false">
      <c r="A10" s="7" t="s">
        <v>220</v>
      </c>
      <c r="B10" s="53" t="str">
        <f aca="false">IF('P5'!B6="","",'P5'!B6)</f>
        <v/>
      </c>
      <c r="C10" s="27" t="n">
        <f aca="false">'P5'!B10</f>
        <v>0</v>
      </c>
      <c r="D10" s="54" t="n">
        <v>0</v>
      </c>
      <c r="E10" s="54" t="n">
        <v>0</v>
      </c>
      <c r="F10" s="55" t="str">
        <f aca="false">IFERROR(E10/D10,"")</f>
        <v/>
      </c>
      <c r="G10" s="56" t="str">
        <f aca="false">IFERROR(C10/(E10/12),"Awaiting baseline")</f>
        <v>Awaiting baseline</v>
      </c>
      <c r="H10" s="7"/>
    </row>
    <row r="11" customFormat="false" ht="39.75" hidden="false" customHeight="true" outlineLevel="0" collapsed="false">
      <c r="A11" s="18" t="s">
        <v>221</v>
      </c>
      <c r="B11" s="57" t="str">
        <f aca="false">IF('P6'!B6="","",'P6'!B6)</f>
        <v/>
      </c>
      <c r="C11" s="34" t="n">
        <f aca="false">'P6'!B10</f>
        <v>0</v>
      </c>
      <c r="D11" s="54" t="n">
        <v>0</v>
      </c>
      <c r="E11" s="54" t="n">
        <v>0</v>
      </c>
      <c r="F11" s="58" t="str">
        <f aca="false">IFERROR(E11/D11,"")</f>
        <v/>
      </c>
      <c r="G11" s="59" t="str">
        <f aca="false">IFERROR(C11/(E11/12),"Awaiting baseline")</f>
        <v>Awaiting baseline</v>
      </c>
      <c r="H11" s="18"/>
    </row>
    <row r="12" customFormat="false" ht="39.75" hidden="false" customHeight="true" outlineLevel="0" collapsed="false">
      <c r="A12" s="7" t="s">
        <v>222</v>
      </c>
      <c r="B12" s="53" t="str">
        <f aca="false">IF('P7'!B6="","",'P7'!B6)</f>
        <v/>
      </c>
      <c r="C12" s="27" t="n">
        <f aca="false">'P7'!B10</f>
        <v>0</v>
      </c>
      <c r="D12" s="54" t="n">
        <v>0</v>
      </c>
      <c r="E12" s="54" t="n">
        <v>0</v>
      </c>
      <c r="F12" s="55" t="str">
        <f aca="false">IFERROR(E12/D12,"")</f>
        <v/>
      </c>
      <c r="G12" s="56" t="str">
        <f aca="false">IFERROR(C12/(E12/12),"Awaiting baseline")</f>
        <v>Awaiting baseline</v>
      </c>
      <c r="H12" s="7"/>
    </row>
    <row r="13" customFormat="false" ht="39.75" hidden="false" customHeight="true" outlineLevel="0" collapsed="false">
      <c r="A13" s="18" t="s">
        <v>223</v>
      </c>
      <c r="B13" s="57" t="str">
        <f aca="false">IF('P8'!B6="","",'P8'!B6)</f>
        <v/>
      </c>
      <c r="C13" s="34" t="n">
        <f aca="false">'P8'!B10</f>
        <v>0</v>
      </c>
      <c r="D13" s="54" t="n">
        <v>0</v>
      </c>
      <c r="E13" s="54" t="n">
        <v>0</v>
      </c>
      <c r="F13" s="58" t="str">
        <f aca="false">IFERROR(E13/D13,"")</f>
        <v/>
      </c>
      <c r="G13" s="59" t="str">
        <f aca="false">IFERROR(C13/(E13/12),"Awaiting baseline")</f>
        <v>Awaiting baseline</v>
      </c>
      <c r="H13" s="18"/>
    </row>
    <row r="14" customFormat="false" ht="15" hidden="false" customHeight="false" outlineLevel="0" collapsed="false">
      <c r="A14" s="40"/>
      <c r="B14" s="40" t="s">
        <v>224</v>
      </c>
      <c r="C14" s="41" t="n">
        <f aca="false">SUM(C6:C13)</f>
        <v>84000</v>
      </c>
      <c r="D14" s="41" t="n">
        <f aca="false">SUM(D6:D13)</f>
        <v>0</v>
      </c>
      <c r="E14" s="41" t="n">
        <f aca="false">SUM(E6:E13)</f>
        <v>0</v>
      </c>
      <c r="F14" s="60" t="str">
        <f aca="false">IFERROR(E14/D14,"")</f>
        <v/>
      </c>
      <c r="G14" s="61" t="str">
        <f aca="false">IFERROR(C14/(E14/12),"Awaiting baseline")</f>
        <v>Awaiting baseline</v>
      </c>
      <c r="H14" s="42"/>
    </row>
    <row r="16" customFormat="false" ht="15" hidden="false" customHeight="false" outlineLevel="0" collapsed="false">
      <c r="A16" s="2" t="s">
        <v>326</v>
      </c>
      <c r="B16" s="2"/>
      <c r="C16" s="2"/>
      <c r="D16" s="2"/>
      <c r="E16" s="2"/>
      <c r="F16" s="2"/>
      <c r="G16" s="2"/>
      <c r="H16" s="2"/>
    </row>
  </sheetData>
  <mergeCells count="3">
    <mergeCell ref="A1:H1"/>
    <mergeCell ref="A2:H2"/>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6"/>
    <col collapsed="false" customWidth="true" hidden="false" outlineLevel="0" max="4" min="4" style="0" width="60"/>
    <col collapsed="false" customWidth="true" hidden="false" outlineLevel="0" max="5" min="5" style="0" width="24"/>
    <col collapsed="false" customWidth="true" hidden="false" outlineLevel="0" max="6" min="6" style="0" width="14"/>
    <col collapsed="false" customWidth="true" hidden="false" outlineLevel="0" max="7" min="7" style="0" width="36"/>
  </cols>
  <sheetData>
    <row r="1" customFormat="false" ht="21.75" hidden="false" customHeight="true" outlineLevel="0" collapsed="false">
      <c r="A1" s="1" t="s">
        <v>327</v>
      </c>
      <c r="B1" s="1"/>
      <c r="C1" s="1"/>
      <c r="D1" s="1"/>
      <c r="E1" s="1"/>
      <c r="F1" s="1"/>
      <c r="G1" s="1"/>
    </row>
    <row r="2" customFormat="false" ht="15" hidden="false" customHeight="false" outlineLevel="0" collapsed="false">
      <c r="A2" s="2" t="s">
        <v>328</v>
      </c>
      <c r="B2" s="2"/>
      <c r="C2" s="2"/>
      <c r="D2" s="2"/>
      <c r="E2" s="2"/>
      <c r="F2" s="2"/>
      <c r="G2" s="2"/>
    </row>
    <row r="4" customFormat="false" ht="18" hidden="false" customHeight="true" outlineLevel="0" collapsed="false">
      <c r="A4" s="3" t="s">
        <v>329</v>
      </c>
      <c r="B4" s="4"/>
      <c r="C4" s="4"/>
      <c r="D4" s="4"/>
      <c r="E4" s="4"/>
      <c r="F4" s="4"/>
      <c r="G4" s="4"/>
    </row>
    <row r="5" customFormat="false" ht="30" hidden="false" customHeight="true" outlineLevel="0" collapsed="false">
      <c r="A5" s="6" t="s">
        <v>330</v>
      </c>
      <c r="B5" s="6" t="s">
        <v>208</v>
      </c>
      <c r="C5" s="6" t="s">
        <v>331</v>
      </c>
      <c r="D5" s="6" t="s">
        <v>332</v>
      </c>
      <c r="E5" s="6" t="s">
        <v>333</v>
      </c>
      <c r="F5" s="6" t="s">
        <v>334</v>
      </c>
      <c r="G5" s="6" t="s">
        <v>335</v>
      </c>
    </row>
    <row r="6" customFormat="false" ht="30" hidden="false" customHeight="true" outlineLevel="0" collapsed="false">
      <c r="A6" s="7"/>
      <c r="B6" s="7"/>
      <c r="C6" s="7"/>
      <c r="D6" s="7"/>
      <c r="E6" s="7"/>
      <c r="F6" s="7"/>
      <c r="G6" s="7"/>
    </row>
    <row r="7" customFormat="false" ht="30" hidden="false" customHeight="true" outlineLevel="0" collapsed="false">
      <c r="A7" s="18"/>
      <c r="B7" s="18"/>
      <c r="C7" s="18"/>
      <c r="D7" s="18"/>
      <c r="E7" s="18"/>
      <c r="F7" s="18"/>
      <c r="G7" s="18"/>
    </row>
    <row r="8" customFormat="false" ht="30" hidden="false" customHeight="true" outlineLevel="0" collapsed="false">
      <c r="A8" s="7"/>
      <c r="B8" s="7"/>
      <c r="C8" s="7"/>
      <c r="D8" s="7"/>
      <c r="E8" s="7"/>
      <c r="F8" s="7"/>
      <c r="G8" s="7"/>
    </row>
    <row r="9" customFormat="false" ht="30" hidden="false" customHeight="true" outlineLevel="0" collapsed="false">
      <c r="A9" s="18"/>
      <c r="B9" s="18"/>
      <c r="C9" s="18"/>
      <c r="D9" s="18"/>
      <c r="E9" s="18"/>
      <c r="F9" s="18"/>
      <c r="G9" s="18"/>
    </row>
    <row r="10" customFormat="false" ht="30" hidden="false" customHeight="true" outlineLevel="0" collapsed="false">
      <c r="A10" s="7"/>
      <c r="B10" s="7"/>
      <c r="C10" s="7"/>
      <c r="D10" s="7"/>
      <c r="E10" s="7"/>
      <c r="F10" s="7"/>
      <c r="G10" s="7"/>
    </row>
    <row r="11" customFormat="false" ht="30" hidden="false" customHeight="true" outlineLevel="0" collapsed="false">
      <c r="A11" s="18"/>
      <c r="B11" s="18"/>
      <c r="C11" s="18"/>
      <c r="D11" s="18"/>
      <c r="E11" s="18"/>
      <c r="F11" s="18"/>
      <c r="G11" s="18"/>
    </row>
    <row r="12" customFormat="false" ht="30" hidden="false" customHeight="true" outlineLevel="0" collapsed="false">
      <c r="A12" s="7"/>
      <c r="B12" s="7"/>
      <c r="C12" s="7"/>
      <c r="D12" s="7"/>
      <c r="E12" s="7"/>
      <c r="F12" s="7"/>
      <c r="G12" s="7"/>
    </row>
    <row r="13" customFormat="false" ht="30" hidden="false" customHeight="true" outlineLevel="0" collapsed="false">
      <c r="A13" s="18"/>
      <c r="B13" s="18"/>
      <c r="C13" s="18"/>
      <c r="D13" s="18"/>
      <c r="E13" s="18"/>
      <c r="F13" s="18"/>
      <c r="G13" s="18"/>
    </row>
    <row r="14" customFormat="false" ht="30" hidden="false" customHeight="true" outlineLevel="0" collapsed="false">
      <c r="A14" s="7"/>
      <c r="B14" s="7"/>
      <c r="C14" s="7"/>
      <c r="D14" s="7"/>
      <c r="E14" s="7"/>
      <c r="F14" s="7"/>
      <c r="G14" s="7"/>
    </row>
    <row r="15" customFormat="false" ht="30" hidden="false" customHeight="true" outlineLevel="0" collapsed="false">
      <c r="A15" s="18"/>
      <c r="B15" s="18"/>
      <c r="C15" s="18"/>
      <c r="D15" s="18"/>
      <c r="E15" s="18"/>
      <c r="F15" s="18"/>
      <c r="G15" s="18"/>
    </row>
    <row r="17" customFormat="false" ht="15" hidden="false" customHeight="false" outlineLevel="0" collapsed="false">
      <c r="A17" s="2" t="s">
        <v>336</v>
      </c>
      <c r="B17" s="2"/>
      <c r="C17" s="2"/>
      <c r="D17" s="2"/>
      <c r="E17" s="2"/>
      <c r="F17" s="2"/>
      <c r="G17" s="2"/>
    </row>
  </sheetData>
  <mergeCells count="3">
    <mergeCell ref="A1:G1"/>
    <mergeCell ref="A2:G2"/>
    <mergeCell ref="A17:G17"/>
  </mergeCells>
  <dataValidations count="1">
    <dataValidation allowBlank="true" error="Pick a value from the list." errorStyle="stop" operator="between" showDropDown="false" showErrorMessage="false" showInputMessage="false" sqref="C6:C15" type="list">
      <formula1>"Approved,Approved with conditions,Deferred,Held,Rejected"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337</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216</v>
      </c>
      <c r="C5" s="62"/>
      <c r="D5" s="62"/>
      <c r="E5" s="7"/>
      <c r="F5" s="7"/>
      <c r="G5" s="7"/>
    </row>
    <row r="6" customFormat="false" ht="23.85" hidden="false" customHeight="true" outlineLevel="0" collapsed="false">
      <c r="A6" s="63" t="s">
        <v>341</v>
      </c>
      <c r="B6" s="64" t="s">
        <v>342</v>
      </c>
      <c r="C6" s="64"/>
      <c r="D6" s="64"/>
      <c r="E6" s="18" t="s">
        <v>343</v>
      </c>
      <c r="F6" s="18"/>
      <c r="G6" s="18"/>
    </row>
    <row r="7" customFormat="false" ht="15" hidden="false" customHeight="true" outlineLevel="0" collapsed="false">
      <c r="A7" s="22" t="s">
        <v>344</v>
      </c>
      <c r="B7" s="62" t="s">
        <v>60</v>
      </c>
      <c r="C7" s="62"/>
      <c r="D7" s="62"/>
      <c r="E7" s="7" t="s">
        <v>345</v>
      </c>
      <c r="F7" s="7"/>
      <c r="G7" s="7"/>
    </row>
    <row r="8" customFormat="false" ht="15" hidden="false" customHeight="true" outlineLevel="0" collapsed="false">
      <c r="A8" s="63" t="s">
        <v>346</v>
      </c>
      <c r="B8" s="64" t="s">
        <v>347</v>
      </c>
      <c r="C8" s="64"/>
      <c r="D8" s="64"/>
      <c r="E8" s="18" t="s">
        <v>345</v>
      </c>
      <c r="F8" s="18"/>
      <c r="G8" s="18"/>
    </row>
    <row r="9" customFormat="false" ht="15" hidden="false" customHeight="true" outlineLevel="0" collapsed="false">
      <c r="A9" s="22" t="s">
        <v>348</v>
      </c>
      <c r="B9" s="62" t="s">
        <v>349</v>
      </c>
      <c r="C9" s="62"/>
      <c r="D9" s="62"/>
      <c r="E9" s="7" t="s">
        <v>345</v>
      </c>
      <c r="F9" s="7"/>
      <c r="G9" s="7"/>
    </row>
    <row r="10" customFormat="false" ht="15" hidden="false" customHeight="true" outlineLevel="0" collapsed="false">
      <c r="A10" s="63" t="s">
        <v>209</v>
      </c>
      <c r="B10" s="65" t="n">
        <v>84000</v>
      </c>
      <c r="C10" s="65"/>
      <c r="D10" s="65"/>
      <c r="E10" s="18" t="s">
        <v>350</v>
      </c>
      <c r="F10" s="18"/>
      <c r="G10" s="18"/>
    </row>
    <row r="11" customFormat="false" ht="15" hidden="false" customHeight="true" outlineLevel="0" collapsed="false">
      <c r="A11" s="22" t="s">
        <v>351</v>
      </c>
      <c r="B11" s="62" t="n">
        <v>3</v>
      </c>
      <c r="C11" s="62"/>
      <c r="D11" s="62"/>
      <c r="E11" s="7" t="s">
        <v>352</v>
      </c>
      <c r="F11" s="7"/>
      <c r="G11" s="7"/>
    </row>
    <row r="12" customFormat="false" ht="23.85" hidden="false" customHeight="true" outlineLevel="0" collapsed="false">
      <c r="A12" s="63" t="s">
        <v>353</v>
      </c>
      <c r="B12" s="64" t="s">
        <v>354</v>
      </c>
      <c r="C12" s="64"/>
      <c r="D12" s="64"/>
      <c r="E12" s="18"/>
      <c r="F12" s="18"/>
      <c r="G12" s="18"/>
    </row>
    <row r="13" customFormat="false" ht="15" hidden="false" customHeight="true" outlineLevel="0" collapsed="false">
      <c r="A13" s="22" t="s">
        <v>355</v>
      </c>
      <c r="B13" s="62" t="s">
        <v>356</v>
      </c>
      <c r="C13" s="62"/>
      <c r="D13" s="62"/>
      <c r="E13" s="7"/>
      <c r="F13" s="7"/>
      <c r="G13" s="7"/>
    </row>
    <row r="14" customFormat="false" ht="15" hidden="false" customHeight="true" outlineLevel="0" collapsed="false">
      <c r="A14" s="63" t="s">
        <v>215</v>
      </c>
      <c r="B14" s="64" t="s">
        <v>237</v>
      </c>
      <c r="C14" s="64"/>
      <c r="D14" s="64"/>
      <c r="E14" s="18" t="s">
        <v>357</v>
      </c>
      <c r="F14" s="18"/>
      <c r="G14" s="18"/>
    </row>
    <row r="15" customFormat="false" ht="23.85" hidden="false" customHeight="true" outlineLevel="0" collapsed="false">
      <c r="A15" s="22" t="s">
        <v>358</v>
      </c>
      <c r="B15" s="62" t="s">
        <v>359</v>
      </c>
      <c r="C15" s="62"/>
      <c r="D15" s="62"/>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57.75" hidden="false" customHeight="true" outlineLevel="0" collapsed="false">
      <c r="A20" s="7" t="s">
        <v>140</v>
      </c>
      <c r="B20" s="66" t="n">
        <v>4</v>
      </c>
      <c r="C20" s="67" t="n">
        <f aca="false">'01 Scoring Model'!$B$6</f>
        <v>0.2</v>
      </c>
      <c r="D20" s="68" t="n">
        <f aca="false">IF(B20="","",B20*C20)</f>
        <v>0.8</v>
      </c>
      <c r="E20" s="7" t="s">
        <v>367</v>
      </c>
      <c r="F20" s="7" t="s">
        <v>368</v>
      </c>
      <c r="G20" s="7" t="s">
        <v>369</v>
      </c>
    </row>
    <row r="21" customFormat="false" ht="57.75" hidden="false" customHeight="true" outlineLevel="0" collapsed="false">
      <c r="A21" s="18" t="s">
        <v>142</v>
      </c>
      <c r="B21" s="69" t="n">
        <v>3</v>
      </c>
      <c r="C21" s="70" t="n">
        <f aca="false">'01 Scoring Model'!$B$7</f>
        <v>0.2</v>
      </c>
      <c r="D21" s="71" t="n">
        <f aca="false">IF(B21="","",B21*C21)</f>
        <v>0.6</v>
      </c>
      <c r="E21" s="18" t="s">
        <v>370</v>
      </c>
      <c r="F21" s="18" t="s">
        <v>263</v>
      </c>
      <c r="G21" s="18" t="s">
        <v>371</v>
      </c>
    </row>
    <row r="22" customFormat="false" ht="57.75" hidden="false" customHeight="true" outlineLevel="0" collapsed="false">
      <c r="A22" s="7" t="s">
        <v>144</v>
      </c>
      <c r="B22" s="66" t="n">
        <v>3</v>
      </c>
      <c r="C22" s="67" t="n">
        <f aca="false">'01 Scoring Model'!$B$8</f>
        <v>0.2</v>
      </c>
      <c r="D22" s="68" t="n">
        <f aca="false">IF(B22="","",B22*C22)</f>
        <v>0.6</v>
      </c>
      <c r="E22" s="7" t="s">
        <v>372</v>
      </c>
      <c r="F22" s="7" t="s">
        <v>373</v>
      </c>
      <c r="G22" s="7" t="s">
        <v>374</v>
      </c>
    </row>
    <row r="23" customFormat="false" ht="57.75" hidden="false" customHeight="true" outlineLevel="0" collapsed="false">
      <c r="A23" s="18" t="s">
        <v>146</v>
      </c>
      <c r="B23" s="69" t="n">
        <v>4</v>
      </c>
      <c r="C23" s="70" t="n">
        <f aca="false">'01 Scoring Model'!$B$9</f>
        <v>0.1</v>
      </c>
      <c r="D23" s="71" t="n">
        <f aca="false">IF(B23="","",B23*C23)</f>
        <v>0.4</v>
      </c>
      <c r="E23" s="18" t="s">
        <v>375</v>
      </c>
      <c r="F23" s="18" t="s">
        <v>373</v>
      </c>
      <c r="G23" s="18" t="s">
        <v>376</v>
      </c>
    </row>
    <row r="24" customFormat="false" ht="57.75" hidden="false" customHeight="true" outlineLevel="0" collapsed="false">
      <c r="A24" s="7" t="s">
        <v>148</v>
      </c>
      <c r="B24" s="66" t="n">
        <v>3</v>
      </c>
      <c r="C24" s="67" t="n">
        <f aca="false">'01 Scoring Model'!$B$10</f>
        <v>0.1</v>
      </c>
      <c r="D24" s="68" t="n">
        <f aca="false">IF(B24="","",B24*C24)</f>
        <v>0.3</v>
      </c>
      <c r="E24" s="7" t="s">
        <v>377</v>
      </c>
      <c r="F24" s="7" t="s">
        <v>378</v>
      </c>
      <c r="G24" s="7" t="s">
        <v>379</v>
      </c>
    </row>
    <row r="25" customFormat="false" ht="57.75" hidden="false" customHeight="true" outlineLevel="0" collapsed="false">
      <c r="A25" s="18" t="s">
        <v>150</v>
      </c>
      <c r="B25" s="69" t="n">
        <v>4</v>
      </c>
      <c r="C25" s="70" t="n">
        <f aca="false">'01 Scoring Model'!$B$11</f>
        <v>0.1</v>
      </c>
      <c r="D25" s="71" t="n">
        <f aca="false">IF(B25="","",B25*C25)</f>
        <v>0.4</v>
      </c>
      <c r="E25" s="18" t="s">
        <v>380</v>
      </c>
      <c r="F25" s="18" t="s">
        <v>279</v>
      </c>
      <c r="G25" s="18" t="s">
        <v>381</v>
      </c>
    </row>
    <row r="26" customFormat="false" ht="57.75" hidden="false" customHeight="true" outlineLevel="0" collapsed="false">
      <c r="A26" s="7" t="s">
        <v>152</v>
      </c>
      <c r="B26" s="66" t="n">
        <v>4</v>
      </c>
      <c r="C26" s="67" t="n">
        <f aca="false">'01 Scoring Model'!$B$12</f>
        <v>0.1</v>
      </c>
      <c r="D26" s="68" t="n">
        <f aca="false">IF(B26="","",B26*C26)</f>
        <v>0.4</v>
      </c>
      <c r="E26" s="7" t="s">
        <v>382</v>
      </c>
      <c r="F26" s="7" t="s">
        <v>279</v>
      </c>
      <c r="G26" s="7" t="s">
        <v>383</v>
      </c>
    </row>
    <row r="27" customFormat="false" ht="15" hidden="false" customHeight="true" outlineLevel="0" collapsed="false">
      <c r="A27" s="40" t="s">
        <v>384</v>
      </c>
      <c r="B27" s="42"/>
      <c r="C27" s="42"/>
      <c r="D27" s="72" t="n">
        <f aca="false">IF(COUNT(B20:B26)=0,"",ROUND(SUM(D20:D26),2))</f>
        <v>3.5</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true" outlineLevel="0" collapsed="false">
      <c r="A31" s="7" t="s">
        <v>389</v>
      </c>
      <c r="B31" s="7"/>
      <c r="C31" s="7"/>
      <c r="D31" s="7"/>
      <c r="E31" s="7" t="s">
        <v>390</v>
      </c>
      <c r="F31" s="7"/>
      <c r="G31" s="7"/>
    </row>
    <row r="32" customFormat="false" ht="15" hidden="false" customHeight="true" outlineLevel="0" collapsed="false">
      <c r="A32" s="18" t="s">
        <v>391</v>
      </c>
      <c r="B32" s="18"/>
      <c r="C32" s="18"/>
      <c r="D32" s="18"/>
      <c r="E32" s="18" t="s">
        <v>392</v>
      </c>
      <c r="F32" s="18"/>
      <c r="G32" s="18"/>
    </row>
    <row r="33" customFormat="false" ht="15" hidden="false" customHeight="true" outlineLevel="0" collapsed="false">
      <c r="A33" s="7" t="s">
        <v>393</v>
      </c>
      <c r="B33" s="7"/>
      <c r="C33" s="7"/>
      <c r="D33" s="7"/>
      <c r="E33" s="7" t="s">
        <v>394</v>
      </c>
      <c r="F33" s="7"/>
      <c r="G33" s="7"/>
    </row>
    <row r="34" customFormat="false" ht="15" hidden="false" customHeight="true" outlineLevel="0" collapsed="false">
      <c r="A34" s="18" t="s">
        <v>395</v>
      </c>
      <c r="B34" s="18"/>
      <c r="C34" s="18"/>
      <c r="D34" s="18"/>
      <c r="E34" s="18" t="s">
        <v>396</v>
      </c>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true" outlineLevel="0" collapsed="false">
      <c r="A38" s="7" t="s">
        <v>401</v>
      </c>
      <c r="B38" s="7" t="s">
        <v>402</v>
      </c>
      <c r="C38" s="7"/>
      <c r="D38" s="7"/>
      <c r="E38" s="7" t="s">
        <v>403</v>
      </c>
      <c r="F38" s="7" t="s">
        <v>373</v>
      </c>
      <c r="G38" s="7" t="s">
        <v>277</v>
      </c>
    </row>
    <row r="39" customFormat="false" ht="15" hidden="false" customHeight="true" outlineLevel="0" collapsed="false">
      <c r="A39" s="18" t="s">
        <v>404</v>
      </c>
      <c r="B39" s="18" t="s">
        <v>405</v>
      </c>
      <c r="C39" s="18"/>
      <c r="D39" s="18"/>
      <c r="E39" s="18" t="s">
        <v>406</v>
      </c>
      <c r="F39" s="18" t="s">
        <v>288</v>
      </c>
      <c r="G39" s="18" t="s">
        <v>283</v>
      </c>
    </row>
    <row r="40" customFormat="false" ht="15" hidden="false" customHeight="true" outlineLevel="0" collapsed="false">
      <c r="A40" s="7" t="s">
        <v>407</v>
      </c>
      <c r="B40" s="7" t="s">
        <v>408</v>
      </c>
      <c r="C40" s="7"/>
      <c r="D40" s="7"/>
      <c r="E40" s="7" t="s">
        <v>409</v>
      </c>
      <c r="F40" s="7" t="s">
        <v>263</v>
      </c>
      <c r="G40" s="7" t="s">
        <v>276</v>
      </c>
    </row>
    <row r="41" customFormat="false" ht="15" hidden="false" customHeight="true" outlineLevel="0" collapsed="false">
      <c r="A41" s="18" t="s">
        <v>410</v>
      </c>
      <c r="B41" s="18" t="s">
        <v>411</v>
      </c>
      <c r="C41" s="18"/>
      <c r="D41" s="18"/>
      <c r="E41" s="18" t="s">
        <v>412</v>
      </c>
      <c r="F41" s="18" t="s">
        <v>292</v>
      </c>
      <c r="G41" s="18" t="s">
        <v>276</v>
      </c>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23.85" hidden="false" customHeight="false" outlineLevel="0" collapsed="false">
      <c r="A45" s="7" t="s">
        <v>275</v>
      </c>
      <c r="B45" s="47" t="s">
        <v>276</v>
      </c>
      <c r="C45" s="47" t="s">
        <v>277</v>
      </c>
      <c r="D45" s="51" t="n">
        <v>8</v>
      </c>
      <c r="E45" s="7" t="s">
        <v>278</v>
      </c>
      <c r="F45" s="7" t="s">
        <v>279</v>
      </c>
      <c r="G45" s="7" t="s">
        <v>415</v>
      </c>
    </row>
    <row r="46" customFormat="false" ht="23.85" hidden="false" customHeight="false" outlineLevel="0" collapsed="false">
      <c r="A46" s="18" t="s">
        <v>282</v>
      </c>
      <c r="B46" s="50" t="s">
        <v>283</v>
      </c>
      <c r="C46" s="50" t="s">
        <v>276</v>
      </c>
      <c r="D46" s="73" t="n">
        <v>6</v>
      </c>
      <c r="E46" s="18" t="s">
        <v>284</v>
      </c>
      <c r="F46" s="18" t="s">
        <v>263</v>
      </c>
      <c r="G46" s="18" t="s">
        <v>416</v>
      </c>
    </row>
    <row r="47" customFormat="false" ht="23.85" hidden="false" customHeight="false" outlineLevel="0" collapsed="false">
      <c r="A47" s="7" t="s">
        <v>286</v>
      </c>
      <c r="B47" s="47" t="s">
        <v>276</v>
      </c>
      <c r="C47" s="47" t="s">
        <v>283</v>
      </c>
      <c r="D47" s="51" t="n">
        <v>6</v>
      </c>
      <c r="E47" s="7" t="s">
        <v>287</v>
      </c>
      <c r="F47" s="7" t="s">
        <v>288</v>
      </c>
      <c r="G47" s="7"/>
    </row>
    <row r="48" customFormat="false" ht="23.85" hidden="false" customHeight="false" outlineLevel="0" collapsed="false">
      <c r="A48" s="18" t="s">
        <v>290</v>
      </c>
      <c r="B48" s="50" t="s">
        <v>283</v>
      </c>
      <c r="C48" s="50" t="s">
        <v>276</v>
      </c>
      <c r="D48" s="73" t="n">
        <v>6</v>
      </c>
      <c r="E48" s="18" t="s">
        <v>291</v>
      </c>
      <c r="F48" s="18" t="s">
        <v>292</v>
      </c>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23.85" hidden="false" customHeight="true" outlineLevel="0" collapsed="false">
      <c r="A53" s="7" t="s">
        <v>424</v>
      </c>
      <c r="B53" s="7" t="s">
        <v>425</v>
      </c>
      <c r="C53" s="7"/>
      <c r="D53" s="7" t="s">
        <v>426</v>
      </c>
      <c r="E53" s="7" t="s">
        <v>427</v>
      </c>
      <c r="F53" s="7" t="s">
        <v>428</v>
      </c>
      <c r="G53" s="7"/>
    </row>
    <row r="54" customFormat="false" ht="15" hidden="false" customHeight="true" outlineLevel="0" collapsed="false">
      <c r="A54" s="18" t="s">
        <v>429</v>
      </c>
      <c r="B54" s="18" t="s">
        <v>430</v>
      </c>
      <c r="C54" s="18"/>
      <c r="D54" s="18" t="s">
        <v>431</v>
      </c>
      <c r="E54" s="18" t="s">
        <v>432</v>
      </c>
      <c r="F54" s="18" t="s">
        <v>433</v>
      </c>
      <c r="G54" s="18"/>
    </row>
    <row r="55" customFormat="false" ht="57.45" hidden="false" customHeight="true" outlineLevel="0" collapsed="false">
      <c r="A55" s="7" t="s">
        <v>434</v>
      </c>
      <c r="B55" s="19" t="s">
        <v>435</v>
      </c>
      <c r="C55" s="19"/>
      <c r="D55" s="7" t="s">
        <v>436</v>
      </c>
      <c r="E55" s="7" t="s">
        <v>437</v>
      </c>
      <c r="F55" s="7" t="s">
        <v>438</v>
      </c>
      <c r="G55" s="7"/>
    </row>
    <row r="56" customFormat="false" ht="35.05" hidden="false" customHeight="true" outlineLevel="0" collapsed="false">
      <c r="A56" s="18" t="s">
        <v>439</v>
      </c>
      <c r="B56" s="18" t="s">
        <v>440</v>
      </c>
      <c r="C56" s="18"/>
      <c r="D56" s="18" t="s">
        <v>441</v>
      </c>
      <c r="E56" s="18" t="s">
        <v>442</v>
      </c>
      <c r="F56" s="18" t="s">
        <v>443</v>
      </c>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49" t="s">
        <v>450</v>
      </c>
      <c r="C60" s="49"/>
      <c r="D60" s="49"/>
      <c r="E60" s="7" t="s">
        <v>451</v>
      </c>
      <c r="F60" s="7" t="s">
        <v>452</v>
      </c>
      <c r="G60" s="7"/>
    </row>
    <row r="61" customFormat="false" ht="15" hidden="false" customHeight="false" outlineLevel="0" collapsed="false">
      <c r="A61" s="18" t="s">
        <v>453</v>
      </c>
      <c r="B61" s="49" t="s">
        <v>450</v>
      </c>
      <c r="C61" s="49"/>
      <c r="D61" s="49"/>
      <c r="E61" s="18" t="s">
        <v>454</v>
      </c>
      <c r="F61" s="18" t="s">
        <v>452</v>
      </c>
      <c r="G61" s="18"/>
    </row>
    <row r="62" customFormat="false" ht="15" hidden="false" customHeight="false" outlineLevel="0" collapsed="false">
      <c r="A62" s="7" t="s">
        <v>455</v>
      </c>
      <c r="B62" s="48" t="s">
        <v>456</v>
      </c>
      <c r="C62" s="48"/>
      <c r="D62" s="48"/>
      <c r="E62" s="7" t="s">
        <v>457</v>
      </c>
      <c r="F62" s="7" t="s">
        <v>378</v>
      </c>
      <c r="G62" s="7"/>
    </row>
    <row r="63" customFormat="false" ht="23.85" hidden="false" customHeight="false" outlineLevel="0" collapsed="false">
      <c r="A63" s="18" t="s">
        <v>458</v>
      </c>
      <c r="B63" s="74" t="s">
        <v>459</v>
      </c>
      <c r="C63" s="74"/>
      <c r="D63" s="74"/>
      <c r="E63" s="18" t="s">
        <v>460</v>
      </c>
      <c r="F63" s="18" t="s">
        <v>373</v>
      </c>
      <c r="G63" s="18"/>
    </row>
    <row r="64" customFormat="false" ht="23.85" hidden="false" customHeight="false" outlineLevel="0" collapsed="false">
      <c r="A64" s="7" t="s">
        <v>461</v>
      </c>
      <c r="B64" s="48" t="s">
        <v>456</v>
      </c>
      <c r="C64" s="48"/>
      <c r="D64" s="48"/>
      <c r="E64" s="7" t="s">
        <v>462</v>
      </c>
      <c r="F64" s="7" t="s">
        <v>263</v>
      </c>
      <c r="G64" s="7"/>
    </row>
    <row r="65" customFormat="false" ht="15" hidden="false" customHeight="false" outlineLevel="0" collapsed="false">
      <c r="A65" s="18" t="s">
        <v>463</v>
      </c>
      <c r="B65" s="49" t="s">
        <v>450</v>
      </c>
      <c r="C65" s="49"/>
      <c r="D65" s="49"/>
      <c r="E65" s="18" t="s">
        <v>464</v>
      </c>
      <c r="F65" s="18" t="s">
        <v>279</v>
      </c>
      <c r="G65" s="18"/>
    </row>
    <row r="66" customFormat="false" ht="15" hidden="false" customHeight="false" outlineLevel="0" collapsed="false">
      <c r="A66" s="7" t="s">
        <v>465</v>
      </c>
      <c r="B66" s="75" t="s">
        <v>466</v>
      </c>
      <c r="C66" s="75"/>
      <c r="D66" s="75"/>
      <c r="E66" s="7" t="s">
        <v>467</v>
      </c>
      <c r="F66" s="7" t="s">
        <v>263</v>
      </c>
      <c r="G66" s="7"/>
    </row>
    <row r="67" customFormat="false" ht="15" hidden="false" customHeight="false" outlineLevel="0" collapsed="false">
      <c r="A67" s="18" t="s">
        <v>468</v>
      </c>
      <c r="B67" s="74" t="s">
        <v>459</v>
      </c>
      <c r="C67" s="74"/>
      <c r="D67" s="74"/>
      <c r="E67" s="18" t="s">
        <v>469</v>
      </c>
      <c r="F67" s="18" t="s">
        <v>470</v>
      </c>
      <c r="G67" s="18"/>
    </row>
    <row r="68" customFormat="false" ht="15" hidden="false" customHeight="false" outlineLevel="0" collapsed="false">
      <c r="A68" s="7" t="s">
        <v>471</v>
      </c>
      <c r="B68" s="74" t="s">
        <v>459</v>
      </c>
      <c r="C68" s="74"/>
      <c r="D68" s="74"/>
      <c r="E68" s="7" t="s">
        <v>472</v>
      </c>
      <c r="F68" s="7" t="s">
        <v>473</v>
      </c>
      <c r="G68" s="7"/>
    </row>
    <row r="69" customFormat="false" ht="23.85" hidden="false" customHeight="false" outlineLevel="0" collapsed="false">
      <c r="A69" s="18" t="s">
        <v>474</v>
      </c>
      <c r="B69" s="48" t="s">
        <v>456</v>
      </c>
      <c r="C69" s="48"/>
      <c r="D69" s="48"/>
      <c r="E69" s="18" t="s">
        <v>475</v>
      </c>
      <c r="F69" s="18" t="s">
        <v>452</v>
      </c>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true" outlineLevel="0" collapsed="false">
      <c r="A73" s="7" t="s">
        <v>478</v>
      </c>
      <c r="B73" s="7" t="s">
        <v>479</v>
      </c>
      <c r="C73" s="7"/>
      <c r="D73" s="7"/>
      <c r="E73" s="7"/>
      <c r="F73" s="7"/>
      <c r="G73" s="7"/>
    </row>
    <row r="74" customFormat="false" ht="15" hidden="false" customHeight="true" outlineLevel="0" collapsed="false">
      <c r="A74" s="18" t="s">
        <v>480</v>
      </c>
      <c r="B74" s="18" t="s">
        <v>481</v>
      </c>
      <c r="C74" s="18"/>
      <c r="D74" s="18"/>
      <c r="E74" s="18"/>
      <c r="F74" s="18"/>
      <c r="G74" s="18"/>
    </row>
    <row r="75" customFormat="false" ht="15" hidden="false" customHeight="true" outlineLevel="0" collapsed="false">
      <c r="A75" s="7" t="s">
        <v>482</v>
      </c>
      <c r="B75" s="7" t="s">
        <v>483</v>
      </c>
      <c r="C75" s="7"/>
      <c r="D75" s="7"/>
      <c r="E75" s="7"/>
      <c r="F75" s="7"/>
      <c r="G75" s="7"/>
    </row>
    <row r="76" customFormat="false" ht="15" hidden="false" customHeight="true" outlineLevel="0" collapsed="false">
      <c r="A76" s="18" t="s">
        <v>484</v>
      </c>
      <c r="B76" s="18" t="s">
        <v>485</v>
      </c>
      <c r="C76" s="18"/>
      <c r="D76" s="18"/>
      <c r="E76" s="18"/>
      <c r="F76" s="18"/>
      <c r="G76" s="18"/>
    </row>
    <row r="77" customFormat="false" ht="15" hidden="false" customHeight="true" outlineLevel="0" collapsed="false">
      <c r="A77" s="7" t="s">
        <v>486</v>
      </c>
      <c r="B77" s="7" t="s">
        <v>487</v>
      </c>
      <c r="C77" s="7"/>
      <c r="D77" s="7"/>
      <c r="E77" s="7"/>
      <c r="F77" s="7"/>
      <c r="G77" s="7"/>
    </row>
    <row r="79" customFormat="false" ht="18" hidden="false" customHeight="true" outlineLevel="0" collapsed="false">
      <c r="A79" s="3" t="s">
        <v>488</v>
      </c>
      <c r="B79" s="4"/>
      <c r="C79" s="4"/>
      <c r="D79" s="4"/>
      <c r="E79" s="4"/>
      <c r="F79" s="4"/>
      <c r="G79" s="4"/>
    </row>
    <row r="80" customFormat="false" ht="23.85" hidden="false" customHeight="true" outlineLevel="0" collapsed="false">
      <c r="A80" s="22" t="s">
        <v>489</v>
      </c>
      <c r="B80" s="62" t="s">
        <v>490</v>
      </c>
      <c r="C80" s="62"/>
      <c r="D80" s="62"/>
      <c r="E80" s="7" t="s">
        <v>491</v>
      </c>
      <c r="F80" s="7"/>
      <c r="G80" s="7"/>
    </row>
    <row r="81" customFormat="false" ht="23.85" hidden="false" customHeight="true" outlineLevel="0" collapsed="false">
      <c r="A81" s="63" t="s">
        <v>492</v>
      </c>
      <c r="B81" s="64" t="s">
        <v>493</v>
      </c>
      <c r="C81" s="64"/>
      <c r="D81" s="64"/>
      <c r="E81" s="18" t="s">
        <v>494</v>
      </c>
      <c r="F81" s="18"/>
      <c r="G81" s="18"/>
    </row>
    <row r="82" customFormat="false" ht="35.05" hidden="false" customHeight="true" outlineLevel="0" collapsed="false">
      <c r="A82" s="22" t="s">
        <v>495</v>
      </c>
      <c r="B82" s="62" t="s">
        <v>496</v>
      </c>
      <c r="C82" s="62"/>
      <c r="D82" s="62"/>
      <c r="E82" s="7" t="s">
        <v>497</v>
      </c>
      <c r="F82" s="7"/>
      <c r="G82" s="7"/>
    </row>
    <row r="83" customFormat="false" ht="15" hidden="false" customHeight="true" outlineLevel="0" collapsed="false">
      <c r="A83" s="63" t="s">
        <v>498</v>
      </c>
      <c r="B83" s="64" t="s">
        <v>60</v>
      </c>
      <c r="C83" s="64"/>
      <c r="D83" s="64"/>
      <c r="E83" s="18" t="s">
        <v>499</v>
      </c>
      <c r="F83" s="18"/>
      <c r="G83" s="18"/>
    </row>
    <row r="84" customFormat="false" ht="15" hidden="false" customHeight="true" outlineLevel="0" collapsed="false">
      <c r="A84" s="22" t="s">
        <v>500</v>
      </c>
      <c r="B84" s="62" t="s">
        <v>433</v>
      </c>
      <c r="C84" s="62"/>
      <c r="D84" s="62"/>
      <c r="E84" s="7" t="s">
        <v>501</v>
      </c>
      <c r="F84" s="7"/>
      <c r="G84" s="7"/>
    </row>
    <row r="85" customFormat="false" ht="23.85" hidden="false" customHeight="true" outlineLevel="0" collapsed="false">
      <c r="A85" s="63" t="s">
        <v>502</v>
      </c>
      <c r="B85" s="64" t="s">
        <v>503</v>
      </c>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505</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217</v>
      </c>
      <c r="C5" s="62"/>
      <c r="D5" s="62"/>
      <c r="E5" s="7"/>
      <c r="F5" s="7"/>
      <c r="G5" s="7"/>
    </row>
    <row r="6" customFormat="false" ht="15" hidden="false" customHeight="true" outlineLevel="0" collapsed="false">
      <c r="A6" s="63" t="s">
        <v>341</v>
      </c>
      <c r="B6" s="76"/>
      <c r="C6" s="76"/>
      <c r="D6" s="76"/>
      <c r="E6" s="18" t="s">
        <v>343</v>
      </c>
      <c r="F6" s="18"/>
      <c r="G6" s="18"/>
    </row>
    <row r="7" customFormat="false" ht="15" hidden="false" customHeight="true" outlineLevel="0" collapsed="false">
      <c r="A7" s="22" t="s">
        <v>344</v>
      </c>
      <c r="B7" s="76" t="s">
        <v>506</v>
      </c>
      <c r="C7" s="76"/>
      <c r="D7" s="76"/>
      <c r="E7" s="7" t="s">
        <v>345</v>
      </c>
      <c r="F7" s="7"/>
      <c r="G7" s="7"/>
    </row>
    <row r="8" customFormat="false" ht="15" hidden="false" customHeight="true" outlineLevel="0" collapsed="false">
      <c r="A8" s="63" t="s">
        <v>346</v>
      </c>
      <c r="B8" s="76" t="s">
        <v>506</v>
      </c>
      <c r="C8" s="76"/>
      <c r="D8" s="76"/>
      <c r="E8" s="18" t="s">
        <v>345</v>
      </c>
      <c r="F8" s="18"/>
      <c r="G8" s="18"/>
    </row>
    <row r="9" customFormat="false" ht="15" hidden="false" customHeight="true" outlineLevel="0" collapsed="false">
      <c r="A9" s="22" t="s">
        <v>348</v>
      </c>
      <c r="B9" s="76" t="s">
        <v>506</v>
      </c>
      <c r="C9" s="76"/>
      <c r="D9" s="76"/>
      <c r="E9" s="7" t="s">
        <v>345</v>
      </c>
      <c r="F9" s="7"/>
      <c r="G9" s="7"/>
    </row>
    <row r="10" customFormat="false" ht="15" hidden="false" customHeight="false" outlineLevel="0" collapsed="false">
      <c r="A10" s="63" t="s">
        <v>209</v>
      </c>
      <c r="B10" s="65" t="n">
        <v>0</v>
      </c>
      <c r="C10" s="65"/>
      <c r="D10" s="65"/>
      <c r="E10" s="18"/>
      <c r="F10" s="18"/>
      <c r="G10" s="18"/>
    </row>
    <row r="11" customFormat="false" ht="15" hidden="false" customHeight="false" outlineLevel="0" collapsed="false">
      <c r="A11" s="22" t="s">
        <v>351</v>
      </c>
      <c r="B11" s="62" t="n">
        <v>0</v>
      </c>
      <c r="C11" s="62"/>
      <c r="D11" s="62"/>
      <c r="E11" s="7"/>
      <c r="F11" s="7"/>
      <c r="G11" s="7"/>
    </row>
    <row r="12" customFormat="false" ht="15" hidden="false" customHeight="false" outlineLevel="0" collapsed="false">
      <c r="A12" s="63" t="s">
        <v>353</v>
      </c>
      <c r="B12" s="76"/>
      <c r="C12" s="76"/>
      <c r="D12" s="76"/>
      <c r="E12" s="18"/>
      <c r="F12" s="18"/>
      <c r="G12" s="18"/>
    </row>
    <row r="13" customFormat="false" ht="15" hidden="false" customHeight="true" outlineLevel="0" collapsed="false">
      <c r="A13" s="22" t="s">
        <v>355</v>
      </c>
      <c r="B13" s="62" t="s">
        <v>507</v>
      </c>
      <c r="C13" s="62"/>
      <c r="D13" s="62"/>
      <c r="E13" s="7"/>
      <c r="F13" s="7"/>
      <c r="G13" s="7"/>
    </row>
    <row r="14" customFormat="false" ht="15" hidden="false" customHeight="true" outlineLevel="0" collapsed="false">
      <c r="A14" s="63" t="s">
        <v>215</v>
      </c>
      <c r="B14" s="76"/>
      <c r="C14" s="76"/>
      <c r="D14" s="76"/>
      <c r="E14" s="18" t="s">
        <v>357</v>
      </c>
      <c r="F14" s="18"/>
      <c r="G14" s="18"/>
    </row>
    <row r="15" customFormat="false" ht="15" hidden="false" customHeight="true" outlineLevel="0" collapsed="false">
      <c r="A15" s="22" t="s">
        <v>358</v>
      </c>
      <c r="B15" s="76" t="s">
        <v>506</v>
      </c>
      <c r="C15" s="76"/>
      <c r="D15" s="76"/>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30" hidden="false" customHeight="true" outlineLevel="0" collapsed="false">
      <c r="A20" s="7" t="s">
        <v>140</v>
      </c>
      <c r="B20" s="77"/>
      <c r="C20" s="67" t="n">
        <f aca="false">'01 Scoring Model'!$B$6</f>
        <v>0.2</v>
      </c>
      <c r="D20" s="68" t="str">
        <f aca="false">IF(B20="","",B20*C20)</f>
        <v/>
      </c>
      <c r="E20" s="7"/>
      <c r="F20" s="7"/>
      <c r="G20" s="7"/>
    </row>
    <row r="21" customFormat="false" ht="30" hidden="false" customHeight="true" outlineLevel="0" collapsed="false">
      <c r="A21" s="18" t="s">
        <v>142</v>
      </c>
      <c r="B21" s="77"/>
      <c r="C21" s="70" t="n">
        <f aca="false">'01 Scoring Model'!$B$7</f>
        <v>0.2</v>
      </c>
      <c r="D21" s="71" t="str">
        <f aca="false">IF(B21="","",B21*C21)</f>
        <v/>
      </c>
      <c r="E21" s="18"/>
      <c r="F21" s="18"/>
      <c r="G21" s="18"/>
    </row>
    <row r="22" customFormat="false" ht="30" hidden="false" customHeight="true" outlineLevel="0" collapsed="false">
      <c r="A22" s="7" t="s">
        <v>144</v>
      </c>
      <c r="B22" s="77"/>
      <c r="C22" s="67" t="n">
        <f aca="false">'01 Scoring Model'!$B$8</f>
        <v>0.2</v>
      </c>
      <c r="D22" s="68" t="str">
        <f aca="false">IF(B22="","",B22*C22)</f>
        <v/>
      </c>
      <c r="E22" s="7"/>
      <c r="F22" s="7"/>
      <c r="G22" s="7"/>
    </row>
    <row r="23" customFormat="false" ht="30" hidden="false" customHeight="true" outlineLevel="0" collapsed="false">
      <c r="A23" s="18" t="s">
        <v>146</v>
      </c>
      <c r="B23" s="77"/>
      <c r="C23" s="70" t="n">
        <f aca="false">'01 Scoring Model'!$B$9</f>
        <v>0.1</v>
      </c>
      <c r="D23" s="71" t="str">
        <f aca="false">IF(B23="","",B23*C23)</f>
        <v/>
      </c>
      <c r="E23" s="18"/>
      <c r="F23" s="18"/>
      <c r="G23" s="18"/>
    </row>
    <row r="24" customFormat="false" ht="30" hidden="false" customHeight="true" outlineLevel="0" collapsed="false">
      <c r="A24" s="7" t="s">
        <v>148</v>
      </c>
      <c r="B24" s="77"/>
      <c r="C24" s="67" t="n">
        <f aca="false">'01 Scoring Model'!$B$10</f>
        <v>0.1</v>
      </c>
      <c r="D24" s="68" t="str">
        <f aca="false">IF(B24="","",B24*C24)</f>
        <v/>
      </c>
      <c r="E24" s="7"/>
      <c r="F24" s="7"/>
      <c r="G24" s="7"/>
    </row>
    <row r="25" customFormat="false" ht="30" hidden="false" customHeight="true" outlineLevel="0" collapsed="false">
      <c r="A25" s="18" t="s">
        <v>150</v>
      </c>
      <c r="B25" s="77"/>
      <c r="C25" s="70" t="n">
        <f aca="false">'01 Scoring Model'!$B$11</f>
        <v>0.1</v>
      </c>
      <c r="D25" s="71" t="str">
        <f aca="false">IF(B25="","",B25*C25)</f>
        <v/>
      </c>
      <c r="E25" s="18"/>
      <c r="F25" s="18"/>
      <c r="G25" s="18"/>
    </row>
    <row r="26" customFormat="false" ht="30" hidden="false" customHeight="true" outlineLevel="0" collapsed="false">
      <c r="A26" s="7" t="s">
        <v>152</v>
      </c>
      <c r="B26" s="77"/>
      <c r="C26" s="67" t="n">
        <f aca="false">'01 Scoring Model'!$B$12</f>
        <v>0.1</v>
      </c>
      <c r="D26" s="68" t="str">
        <f aca="false">IF(B26="","",B26*C26)</f>
        <v/>
      </c>
      <c r="E26" s="7"/>
      <c r="F26" s="7"/>
      <c r="G26" s="7"/>
    </row>
    <row r="27" customFormat="false" ht="15" hidden="false" customHeight="true" outlineLevel="0" collapsed="false">
      <c r="A27" s="40" t="s">
        <v>384</v>
      </c>
      <c r="B27" s="42"/>
      <c r="C27" s="42"/>
      <c r="D27" s="72" t="str">
        <f aca="false">IF(COUNT(B20:B26)=0,"",ROUND(SUM(D20:D26),2))</f>
        <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3"/>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3"/>
      <c r="E48" s="18"/>
      <c r="F48" s="18"/>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74" t="s">
        <v>459</v>
      </c>
      <c r="C60" s="74"/>
      <c r="D60" s="74"/>
      <c r="E60" s="7"/>
      <c r="F60" s="7"/>
      <c r="G60" s="7"/>
    </row>
    <row r="61" customFormat="false" ht="15" hidden="false" customHeight="false" outlineLevel="0" collapsed="false">
      <c r="A61" s="18" t="s">
        <v>453</v>
      </c>
      <c r="B61" s="74" t="s">
        <v>459</v>
      </c>
      <c r="C61" s="74"/>
      <c r="D61" s="74"/>
      <c r="E61" s="18"/>
      <c r="F61" s="18"/>
      <c r="G61" s="18"/>
    </row>
    <row r="62" customFormat="false" ht="15" hidden="false" customHeight="false" outlineLevel="0" collapsed="false">
      <c r="A62" s="7" t="s">
        <v>455</v>
      </c>
      <c r="B62" s="74" t="s">
        <v>459</v>
      </c>
      <c r="C62" s="74"/>
      <c r="D62" s="74"/>
      <c r="E62" s="7"/>
      <c r="F62" s="7"/>
      <c r="G62" s="7"/>
    </row>
    <row r="63" customFormat="false" ht="23.85" hidden="false" customHeight="false" outlineLevel="0" collapsed="false">
      <c r="A63" s="18" t="s">
        <v>458</v>
      </c>
      <c r="B63" s="74" t="s">
        <v>459</v>
      </c>
      <c r="C63" s="74"/>
      <c r="D63" s="74"/>
      <c r="E63" s="18"/>
      <c r="F63" s="18"/>
      <c r="G63" s="18"/>
    </row>
    <row r="64" customFormat="false" ht="23.85" hidden="false" customHeight="false" outlineLevel="0" collapsed="false">
      <c r="A64" s="7" t="s">
        <v>461</v>
      </c>
      <c r="B64" s="74" t="s">
        <v>459</v>
      </c>
      <c r="C64" s="74"/>
      <c r="D64" s="74"/>
      <c r="E64" s="7"/>
      <c r="F64" s="7"/>
      <c r="G64" s="7"/>
    </row>
    <row r="65" customFormat="false" ht="15" hidden="false" customHeight="false" outlineLevel="0" collapsed="false">
      <c r="A65" s="18" t="s">
        <v>463</v>
      </c>
      <c r="B65" s="74" t="s">
        <v>459</v>
      </c>
      <c r="C65" s="74"/>
      <c r="D65" s="74"/>
      <c r="E65" s="18"/>
      <c r="F65" s="18"/>
      <c r="G65" s="18"/>
    </row>
    <row r="66" customFormat="false" ht="15" hidden="false" customHeight="false" outlineLevel="0" collapsed="false">
      <c r="A66" s="7" t="s">
        <v>465</v>
      </c>
      <c r="B66" s="74" t="s">
        <v>459</v>
      </c>
      <c r="C66" s="74"/>
      <c r="D66" s="74"/>
      <c r="E66" s="7"/>
      <c r="F66" s="7"/>
      <c r="G66" s="7"/>
    </row>
    <row r="67" customFormat="false" ht="15" hidden="false" customHeight="false" outlineLevel="0" collapsed="false">
      <c r="A67" s="18" t="s">
        <v>468</v>
      </c>
      <c r="B67" s="74" t="s">
        <v>459</v>
      </c>
      <c r="C67" s="74"/>
      <c r="D67" s="74"/>
      <c r="E67" s="18"/>
      <c r="F67" s="18"/>
      <c r="G67" s="18"/>
    </row>
    <row r="68" customFormat="false" ht="15" hidden="false" customHeight="false" outlineLevel="0" collapsed="false">
      <c r="A68" s="7" t="s">
        <v>471</v>
      </c>
      <c r="B68" s="74" t="s">
        <v>459</v>
      </c>
      <c r="C68" s="74"/>
      <c r="D68" s="74"/>
      <c r="E68" s="7"/>
      <c r="F68" s="7"/>
      <c r="G68" s="7"/>
    </row>
    <row r="69" customFormat="false" ht="23.85" hidden="false" customHeight="false" outlineLevel="0" collapsed="false">
      <c r="A69" s="18" t="s">
        <v>474</v>
      </c>
      <c r="B69" s="74" t="s">
        <v>459</v>
      </c>
      <c r="C69" s="74"/>
      <c r="D69" s="74"/>
      <c r="E69" s="18"/>
      <c r="F69" s="18"/>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false" outlineLevel="0" collapsed="false">
      <c r="A73" s="7" t="s">
        <v>478</v>
      </c>
      <c r="B73" s="7"/>
      <c r="C73" s="7"/>
      <c r="D73" s="7"/>
      <c r="E73" s="7"/>
      <c r="F73" s="7"/>
      <c r="G73" s="7"/>
    </row>
    <row r="74" customFormat="false" ht="15" hidden="false" customHeight="false" outlineLevel="0" collapsed="false">
      <c r="A74" s="18" t="s">
        <v>480</v>
      </c>
      <c r="B74" s="18"/>
      <c r="C74" s="18"/>
      <c r="D74" s="18"/>
      <c r="E74" s="18"/>
      <c r="F74" s="18"/>
      <c r="G74" s="18"/>
    </row>
    <row r="75" customFormat="false" ht="15" hidden="false" customHeight="false" outlineLevel="0" collapsed="false">
      <c r="A75" s="7" t="s">
        <v>482</v>
      </c>
      <c r="B75" s="7"/>
      <c r="C75" s="7"/>
      <c r="D75" s="7"/>
      <c r="E75" s="7"/>
      <c r="F75" s="7"/>
      <c r="G75" s="7"/>
    </row>
    <row r="76" customFormat="false" ht="15" hidden="false" customHeight="false" outlineLevel="0" collapsed="false">
      <c r="A76" s="18" t="s">
        <v>484</v>
      </c>
      <c r="B76" s="18"/>
      <c r="C76" s="18"/>
      <c r="D76" s="18"/>
      <c r="E76" s="18"/>
      <c r="F76" s="18"/>
      <c r="G76" s="18"/>
    </row>
    <row r="77" customFormat="false" ht="15" hidden="false" customHeight="false" outlineLevel="0" collapsed="false">
      <c r="A77" s="7" t="s">
        <v>486</v>
      </c>
      <c r="B77" s="7"/>
      <c r="C77" s="7"/>
      <c r="D77" s="7"/>
      <c r="E77" s="7"/>
      <c r="F77" s="7"/>
      <c r="G77" s="7"/>
    </row>
    <row r="79" customFormat="false" ht="18" hidden="false" customHeight="true" outlineLevel="0" collapsed="false">
      <c r="A79" s="3" t="s">
        <v>488</v>
      </c>
      <c r="B79" s="4"/>
      <c r="C79" s="4"/>
      <c r="D79" s="4"/>
      <c r="E79" s="4"/>
      <c r="F79" s="4"/>
      <c r="G79" s="4"/>
    </row>
    <row r="80" customFormat="false" ht="15" hidden="false" customHeight="true" outlineLevel="0" collapsed="false">
      <c r="A80" s="22" t="s">
        <v>489</v>
      </c>
      <c r="B80" s="76"/>
      <c r="C80" s="76"/>
      <c r="D80" s="76"/>
      <c r="E80" s="7" t="s">
        <v>491</v>
      </c>
      <c r="F80" s="7"/>
      <c r="G80" s="7"/>
    </row>
    <row r="81" customFormat="false" ht="15" hidden="false" customHeight="true" outlineLevel="0" collapsed="false">
      <c r="A81" s="63" t="s">
        <v>492</v>
      </c>
      <c r="B81" s="64"/>
      <c r="C81" s="64"/>
      <c r="D81" s="64"/>
      <c r="E81" s="18" t="s">
        <v>494</v>
      </c>
      <c r="F81" s="18"/>
      <c r="G81" s="18"/>
    </row>
    <row r="82" customFormat="false" ht="15" hidden="false" customHeight="true" outlineLevel="0" collapsed="false">
      <c r="A82" s="22" t="s">
        <v>495</v>
      </c>
      <c r="B82" s="62"/>
      <c r="C82" s="62"/>
      <c r="D82" s="62"/>
      <c r="E82" s="7" t="s">
        <v>497</v>
      </c>
      <c r="F82" s="7"/>
      <c r="G82" s="7"/>
    </row>
    <row r="83" customFormat="false" ht="15" hidden="false" customHeight="true" outlineLevel="0" collapsed="false">
      <c r="A83" s="63" t="s">
        <v>498</v>
      </c>
      <c r="B83" s="76"/>
      <c r="C83" s="76"/>
      <c r="D83" s="76"/>
      <c r="E83" s="18" t="s">
        <v>499</v>
      </c>
      <c r="F83" s="18"/>
      <c r="G83" s="18"/>
    </row>
    <row r="84" customFormat="false" ht="15" hidden="false" customHeight="true" outlineLevel="0" collapsed="false">
      <c r="A84" s="22" t="s">
        <v>500</v>
      </c>
      <c r="B84" s="62"/>
      <c r="C84" s="62"/>
      <c r="D84" s="62"/>
      <c r="E84" s="7" t="s">
        <v>501</v>
      </c>
      <c r="F84" s="7"/>
      <c r="G84" s="7"/>
    </row>
    <row r="85" customFormat="false" ht="15" hidden="false" customHeight="true" outlineLevel="0" collapsed="false">
      <c r="A85" s="63" t="s">
        <v>502</v>
      </c>
      <c r="B85" s="64"/>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508</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218</v>
      </c>
      <c r="C5" s="62"/>
      <c r="D5" s="62"/>
      <c r="E5" s="7"/>
      <c r="F5" s="7"/>
      <c r="G5" s="7"/>
    </row>
    <row r="6" customFormat="false" ht="15" hidden="false" customHeight="true" outlineLevel="0" collapsed="false">
      <c r="A6" s="63" t="s">
        <v>341</v>
      </c>
      <c r="B6" s="76"/>
      <c r="C6" s="76"/>
      <c r="D6" s="76"/>
      <c r="E6" s="18" t="s">
        <v>343</v>
      </c>
      <c r="F6" s="18"/>
      <c r="G6" s="18"/>
    </row>
    <row r="7" customFormat="false" ht="15" hidden="false" customHeight="true" outlineLevel="0" collapsed="false">
      <c r="A7" s="22" t="s">
        <v>344</v>
      </c>
      <c r="B7" s="76" t="s">
        <v>506</v>
      </c>
      <c r="C7" s="76"/>
      <c r="D7" s="76"/>
      <c r="E7" s="7" t="s">
        <v>345</v>
      </c>
      <c r="F7" s="7"/>
      <c r="G7" s="7"/>
    </row>
    <row r="8" customFormat="false" ht="15" hidden="false" customHeight="true" outlineLevel="0" collapsed="false">
      <c r="A8" s="63" t="s">
        <v>346</v>
      </c>
      <c r="B8" s="76" t="s">
        <v>506</v>
      </c>
      <c r="C8" s="76"/>
      <c r="D8" s="76"/>
      <c r="E8" s="18" t="s">
        <v>345</v>
      </c>
      <c r="F8" s="18"/>
      <c r="G8" s="18"/>
    </row>
    <row r="9" customFormat="false" ht="15" hidden="false" customHeight="true" outlineLevel="0" collapsed="false">
      <c r="A9" s="22" t="s">
        <v>348</v>
      </c>
      <c r="B9" s="76" t="s">
        <v>506</v>
      </c>
      <c r="C9" s="76"/>
      <c r="D9" s="76"/>
      <c r="E9" s="7" t="s">
        <v>345</v>
      </c>
      <c r="F9" s="7"/>
      <c r="G9" s="7"/>
    </row>
    <row r="10" customFormat="false" ht="15" hidden="false" customHeight="false" outlineLevel="0" collapsed="false">
      <c r="A10" s="63" t="s">
        <v>209</v>
      </c>
      <c r="B10" s="65" t="n">
        <v>0</v>
      </c>
      <c r="C10" s="65"/>
      <c r="D10" s="65"/>
      <c r="E10" s="18"/>
      <c r="F10" s="18"/>
      <c r="G10" s="18"/>
    </row>
    <row r="11" customFormat="false" ht="15" hidden="false" customHeight="false" outlineLevel="0" collapsed="false">
      <c r="A11" s="22" t="s">
        <v>351</v>
      </c>
      <c r="B11" s="62" t="n">
        <v>0</v>
      </c>
      <c r="C11" s="62"/>
      <c r="D11" s="62"/>
      <c r="E11" s="7"/>
      <c r="F11" s="7"/>
      <c r="G11" s="7"/>
    </row>
    <row r="12" customFormat="false" ht="15" hidden="false" customHeight="false" outlineLevel="0" collapsed="false">
      <c r="A12" s="63" t="s">
        <v>353</v>
      </c>
      <c r="B12" s="76"/>
      <c r="C12" s="76"/>
      <c r="D12" s="76"/>
      <c r="E12" s="18"/>
      <c r="F12" s="18"/>
      <c r="G12" s="18"/>
    </row>
    <row r="13" customFormat="false" ht="15" hidden="false" customHeight="true" outlineLevel="0" collapsed="false">
      <c r="A13" s="22" t="s">
        <v>355</v>
      </c>
      <c r="B13" s="62" t="s">
        <v>507</v>
      </c>
      <c r="C13" s="62"/>
      <c r="D13" s="62"/>
      <c r="E13" s="7"/>
      <c r="F13" s="7"/>
      <c r="G13" s="7"/>
    </row>
    <row r="14" customFormat="false" ht="15" hidden="false" customHeight="true" outlineLevel="0" collapsed="false">
      <c r="A14" s="63" t="s">
        <v>215</v>
      </c>
      <c r="B14" s="76"/>
      <c r="C14" s="76"/>
      <c r="D14" s="76"/>
      <c r="E14" s="18" t="s">
        <v>357</v>
      </c>
      <c r="F14" s="18"/>
      <c r="G14" s="18"/>
    </row>
    <row r="15" customFormat="false" ht="15" hidden="false" customHeight="true" outlineLevel="0" collapsed="false">
      <c r="A15" s="22" t="s">
        <v>358</v>
      </c>
      <c r="B15" s="76" t="s">
        <v>506</v>
      </c>
      <c r="C15" s="76"/>
      <c r="D15" s="76"/>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30" hidden="false" customHeight="true" outlineLevel="0" collapsed="false">
      <c r="A20" s="7" t="s">
        <v>140</v>
      </c>
      <c r="B20" s="77"/>
      <c r="C20" s="67" t="n">
        <f aca="false">'01 Scoring Model'!$B$6</f>
        <v>0.2</v>
      </c>
      <c r="D20" s="68" t="str">
        <f aca="false">IF(B20="","",B20*C20)</f>
        <v/>
      </c>
      <c r="E20" s="7"/>
      <c r="F20" s="7"/>
      <c r="G20" s="7"/>
    </row>
    <row r="21" customFormat="false" ht="30" hidden="false" customHeight="true" outlineLevel="0" collapsed="false">
      <c r="A21" s="18" t="s">
        <v>142</v>
      </c>
      <c r="B21" s="77"/>
      <c r="C21" s="70" t="n">
        <f aca="false">'01 Scoring Model'!$B$7</f>
        <v>0.2</v>
      </c>
      <c r="D21" s="71" t="str">
        <f aca="false">IF(B21="","",B21*C21)</f>
        <v/>
      </c>
      <c r="E21" s="18"/>
      <c r="F21" s="18"/>
      <c r="G21" s="18"/>
    </row>
    <row r="22" customFormat="false" ht="30" hidden="false" customHeight="true" outlineLevel="0" collapsed="false">
      <c r="A22" s="7" t="s">
        <v>144</v>
      </c>
      <c r="B22" s="77"/>
      <c r="C22" s="67" t="n">
        <f aca="false">'01 Scoring Model'!$B$8</f>
        <v>0.2</v>
      </c>
      <c r="D22" s="68" t="str">
        <f aca="false">IF(B22="","",B22*C22)</f>
        <v/>
      </c>
      <c r="E22" s="7"/>
      <c r="F22" s="7"/>
      <c r="G22" s="7"/>
    </row>
    <row r="23" customFormat="false" ht="30" hidden="false" customHeight="true" outlineLevel="0" collapsed="false">
      <c r="A23" s="18" t="s">
        <v>146</v>
      </c>
      <c r="B23" s="77"/>
      <c r="C23" s="70" t="n">
        <f aca="false">'01 Scoring Model'!$B$9</f>
        <v>0.1</v>
      </c>
      <c r="D23" s="71" t="str">
        <f aca="false">IF(B23="","",B23*C23)</f>
        <v/>
      </c>
      <c r="E23" s="18"/>
      <c r="F23" s="18"/>
      <c r="G23" s="18"/>
    </row>
    <row r="24" customFormat="false" ht="30" hidden="false" customHeight="true" outlineLevel="0" collapsed="false">
      <c r="A24" s="7" t="s">
        <v>148</v>
      </c>
      <c r="B24" s="77"/>
      <c r="C24" s="67" t="n">
        <f aca="false">'01 Scoring Model'!$B$10</f>
        <v>0.1</v>
      </c>
      <c r="D24" s="68" t="str">
        <f aca="false">IF(B24="","",B24*C24)</f>
        <v/>
      </c>
      <c r="E24" s="7"/>
      <c r="F24" s="7"/>
      <c r="G24" s="7"/>
    </row>
    <row r="25" customFormat="false" ht="30" hidden="false" customHeight="true" outlineLevel="0" collapsed="false">
      <c r="A25" s="18" t="s">
        <v>150</v>
      </c>
      <c r="B25" s="77"/>
      <c r="C25" s="70" t="n">
        <f aca="false">'01 Scoring Model'!$B$11</f>
        <v>0.1</v>
      </c>
      <c r="D25" s="71" t="str">
        <f aca="false">IF(B25="","",B25*C25)</f>
        <v/>
      </c>
      <c r="E25" s="18"/>
      <c r="F25" s="18"/>
      <c r="G25" s="18"/>
    </row>
    <row r="26" customFormat="false" ht="30" hidden="false" customHeight="true" outlineLevel="0" collapsed="false">
      <c r="A26" s="7" t="s">
        <v>152</v>
      </c>
      <c r="B26" s="77"/>
      <c r="C26" s="67" t="n">
        <f aca="false">'01 Scoring Model'!$B$12</f>
        <v>0.1</v>
      </c>
      <c r="D26" s="68" t="str">
        <f aca="false">IF(B26="","",B26*C26)</f>
        <v/>
      </c>
      <c r="E26" s="7"/>
      <c r="F26" s="7"/>
      <c r="G26" s="7"/>
    </row>
    <row r="27" customFormat="false" ht="15" hidden="false" customHeight="true" outlineLevel="0" collapsed="false">
      <c r="A27" s="40" t="s">
        <v>384</v>
      </c>
      <c r="B27" s="42"/>
      <c r="C27" s="42"/>
      <c r="D27" s="72" t="str">
        <f aca="false">IF(COUNT(B20:B26)=0,"",ROUND(SUM(D20:D26),2))</f>
        <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3"/>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3"/>
      <c r="E48" s="18"/>
      <c r="F48" s="18"/>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74" t="s">
        <v>459</v>
      </c>
      <c r="C60" s="74"/>
      <c r="D60" s="74"/>
      <c r="E60" s="7"/>
      <c r="F60" s="7"/>
      <c r="G60" s="7"/>
    </row>
    <row r="61" customFormat="false" ht="15" hidden="false" customHeight="false" outlineLevel="0" collapsed="false">
      <c r="A61" s="18" t="s">
        <v>453</v>
      </c>
      <c r="B61" s="74" t="s">
        <v>459</v>
      </c>
      <c r="C61" s="74"/>
      <c r="D61" s="74"/>
      <c r="E61" s="18"/>
      <c r="F61" s="18"/>
      <c r="G61" s="18"/>
    </row>
    <row r="62" customFormat="false" ht="15" hidden="false" customHeight="false" outlineLevel="0" collapsed="false">
      <c r="A62" s="7" t="s">
        <v>455</v>
      </c>
      <c r="B62" s="74" t="s">
        <v>459</v>
      </c>
      <c r="C62" s="74"/>
      <c r="D62" s="74"/>
      <c r="E62" s="7"/>
      <c r="F62" s="7"/>
      <c r="G62" s="7"/>
    </row>
    <row r="63" customFormat="false" ht="23.85" hidden="false" customHeight="false" outlineLevel="0" collapsed="false">
      <c r="A63" s="18" t="s">
        <v>458</v>
      </c>
      <c r="B63" s="74" t="s">
        <v>459</v>
      </c>
      <c r="C63" s="74"/>
      <c r="D63" s="74"/>
      <c r="E63" s="18"/>
      <c r="F63" s="18"/>
      <c r="G63" s="18"/>
    </row>
    <row r="64" customFormat="false" ht="23.85" hidden="false" customHeight="false" outlineLevel="0" collapsed="false">
      <c r="A64" s="7" t="s">
        <v>461</v>
      </c>
      <c r="B64" s="74" t="s">
        <v>459</v>
      </c>
      <c r="C64" s="74"/>
      <c r="D64" s="74"/>
      <c r="E64" s="7"/>
      <c r="F64" s="7"/>
      <c r="G64" s="7"/>
    </row>
    <row r="65" customFormat="false" ht="15" hidden="false" customHeight="false" outlineLevel="0" collapsed="false">
      <c r="A65" s="18" t="s">
        <v>463</v>
      </c>
      <c r="B65" s="74" t="s">
        <v>459</v>
      </c>
      <c r="C65" s="74"/>
      <c r="D65" s="74"/>
      <c r="E65" s="18"/>
      <c r="F65" s="18"/>
      <c r="G65" s="18"/>
    </row>
    <row r="66" customFormat="false" ht="15" hidden="false" customHeight="false" outlineLevel="0" collapsed="false">
      <c r="A66" s="7" t="s">
        <v>465</v>
      </c>
      <c r="B66" s="74" t="s">
        <v>459</v>
      </c>
      <c r="C66" s="74"/>
      <c r="D66" s="74"/>
      <c r="E66" s="7"/>
      <c r="F66" s="7"/>
      <c r="G66" s="7"/>
    </row>
    <row r="67" customFormat="false" ht="15" hidden="false" customHeight="false" outlineLevel="0" collapsed="false">
      <c r="A67" s="18" t="s">
        <v>468</v>
      </c>
      <c r="B67" s="74" t="s">
        <v>459</v>
      </c>
      <c r="C67" s="74"/>
      <c r="D67" s="74"/>
      <c r="E67" s="18"/>
      <c r="F67" s="18"/>
      <c r="G67" s="18"/>
    </row>
    <row r="68" customFormat="false" ht="15" hidden="false" customHeight="false" outlineLevel="0" collapsed="false">
      <c r="A68" s="7" t="s">
        <v>471</v>
      </c>
      <c r="B68" s="74" t="s">
        <v>459</v>
      </c>
      <c r="C68" s="74"/>
      <c r="D68" s="74"/>
      <c r="E68" s="7"/>
      <c r="F68" s="7"/>
      <c r="G68" s="7"/>
    </row>
    <row r="69" customFormat="false" ht="23.85" hidden="false" customHeight="false" outlineLevel="0" collapsed="false">
      <c r="A69" s="18" t="s">
        <v>474</v>
      </c>
      <c r="B69" s="74" t="s">
        <v>459</v>
      </c>
      <c r="C69" s="74"/>
      <c r="D69" s="74"/>
      <c r="E69" s="18"/>
      <c r="F69" s="18"/>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false" outlineLevel="0" collapsed="false">
      <c r="A73" s="7" t="s">
        <v>478</v>
      </c>
      <c r="B73" s="7"/>
      <c r="C73" s="7"/>
      <c r="D73" s="7"/>
      <c r="E73" s="7"/>
      <c r="F73" s="7"/>
      <c r="G73" s="7"/>
    </row>
    <row r="74" customFormat="false" ht="15" hidden="false" customHeight="false" outlineLevel="0" collapsed="false">
      <c r="A74" s="18" t="s">
        <v>480</v>
      </c>
      <c r="B74" s="18"/>
      <c r="C74" s="18"/>
      <c r="D74" s="18"/>
      <c r="E74" s="18"/>
      <c r="F74" s="18"/>
      <c r="G74" s="18"/>
    </row>
    <row r="75" customFormat="false" ht="15" hidden="false" customHeight="false" outlineLevel="0" collapsed="false">
      <c r="A75" s="7" t="s">
        <v>482</v>
      </c>
      <c r="B75" s="7"/>
      <c r="C75" s="7"/>
      <c r="D75" s="7"/>
      <c r="E75" s="7"/>
      <c r="F75" s="7"/>
      <c r="G75" s="7"/>
    </row>
    <row r="76" customFormat="false" ht="15" hidden="false" customHeight="false" outlineLevel="0" collapsed="false">
      <c r="A76" s="18" t="s">
        <v>484</v>
      </c>
      <c r="B76" s="18"/>
      <c r="C76" s="18"/>
      <c r="D76" s="18"/>
      <c r="E76" s="18"/>
      <c r="F76" s="18"/>
      <c r="G76" s="18"/>
    </row>
    <row r="77" customFormat="false" ht="15" hidden="false" customHeight="false" outlineLevel="0" collapsed="false">
      <c r="A77" s="7" t="s">
        <v>486</v>
      </c>
      <c r="B77" s="7"/>
      <c r="C77" s="7"/>
      <c r="D77" s="7"/>
      <c r="E77" s="7"/>
      <c r="F77" s="7"/>
      <c r="G77" s="7"/>
    </row>
    <row r="79" customFormat="false" ht="18" hidden="false" customHeight="true" outlineLevel="0" collapsed="false">
      <c r="A79" s="3" t="s">
        <v>488</v>
      </c>
      <c r="B79" s="4"/>
      <c r="C79" s="4"/>
      <c r="D79" s="4"/>
      <c r="E79" s="4"/>
      <c r="F79" s="4"/>
      <c r="G79" s="4"/>
    </row>
    <row r="80" customFormat="false" ht="15" hidden="false" customHeight="true" outlineLevel="0" collapsed="false">
      <c r="A80" s="22" t="s">
        <v>489</v>
      </c>
      <c r="B80" s="76"/>
      <c r="C80" s="76"/>
      <c r="D80" s="76"/>
      <c r="E80" s="7" t="s">
        <v>491</v>
      </c>
      <c r="F80" s="7"/>
      <c r="G80" s="7"/>
    </row>
    <row r="81" customFormat="false" ht="15" hidden="false" customHeight="true" outlineLevel="0" collapsed="false">
      <c r="A81" s="63" t="s">
        <v>492</v>
      </c>
      <c r="B81" s="64"/>
      <c r="C81" s="64"/>
      <c r="D81" s="64"/>
      <c r="E81" s="18" t="s">
        <v>494</v>
      </c>
      <c r="F81" s="18"/>
      <c r="G81" s="18"/>
    </row>
    <row r="82" customFormat="false" ht="15" hidden="false" customHeight="true" outlineLevel="0" collapsed="false">
      <c r="A82" s="22" t="s">
        <v>495</v>
      </c>
      <c r="B82" s="62"/>
      <c r="C82" s="62"/>
      <c r="D82" s="62"/>
      <c r="E82" s="7" t="s">
        <v>497</v>
      </c>
      <c r="F82" s="7"/>
      <c r="G82" s="7"/>
    </row>
    <row r="83" customFormat="false" ht="15" hidden="false" customHeight="true" outlineLevel="0" collapsed="false">
      <c r="A83" s="63" t="s">
        <v>498</v>
      </c>
      <c r="B83" s="76"/>
      <c r="C83" s="76"/>
      <c r="D83" s="76"/>
      <c r="E83" s="18" t="s">
        <v>499</v>
      </c>
      <c r="F83" s="18"/>
      <c r="G83" s="18"/>
    </row>
    <row r="84" customFormat="false" ht="15" hidden="false" customHeight="true" outlineLevel="0" collapsed="false">
      <c r="A84" s="22" t="s">
        <v>500</v>
      </c>
      <c r="B84" s="62"/>
      <c r="C84" s="62"/>
      <c r="D84" s="62"/>
      <c r="E84" s="7" t="s">
        <v>501</v>
      </c>
      <c r="F84" s="7"/>
      <c r="G84" s="7"/>
    </row>
    <row r="85" customFormat="false" ht="15" hidden="false" customHeight="true" outlineLevel="0" collapsed="false">
      <c r="A85" s="63" t="s">
        <v>502</v>
      </c>
      <c r="B85" s="64"/>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509</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219</v>
      </c>
      <c r="C5" s="62"/>
      <c r="D5" s="62"/>
      <c r="E5" s="7"/>
      <c r="F5" s="7"/>
      <c r="G5" s="7"/>
    </row>
    <row r="6" customFormat="false" ht="15" hidden="false" customHeight="true" outlineLevel="0" collapsed="false">
      <c r="A6" s="63" t="s">
        <v>341</v>
      </c>
      <c r="B6" s="76"/>
      <c r="C6" s="76"/>
      <c r="D6" s="76"/>
      <c r="E6" s="18" t="s">
        <v>343</v>
      </c>
      <c r="F6" s="18"/>
      <c r="G6" s="18"/>
    </row>
    <row r="7" customFormat="false" ht="15" hidden="false" customHeight="true" outlineLevel="0" collapsed="false">
      <c r="A7" s="22" t="s">
        <v>344</v>
      </c>
      <c r="B7" s="76" t="s">
        <v>506</v>
      </c>
      <c r="C7" s="76"/>
      <c r="D7" s="76"/>
      <c r="E7" s="7" t="s">
        <v>345</v>
      </c>
      <c r="F7" s="7"/>
      <c r="G7" s="7"/>
    </row>
    <row r="8" customFormat="false" ht="15" hidden="false" customHeight="true" outlineLevel="0" collapsed="false">
      <c r="A8" s="63" t="s">
        <v>346</v>
      </c>
      <c r="B8" s="76" t="s">
        <v>506</v>
      </c>
      <c r="C8" s="76"/>
      <c r="D8" s="76"/>
      <c r="E8" s="18" t="s">
        <v>345</v>
      </c>
      <c r="F8" s="18"/>
      <c r="G8" s="18"/>
    </row>
    <row r="9" customFormat="false" ht="15" hidden="false" customHeight="true" outlineLevel="0" collapsed="false">
      <c r="A9" s="22" t="s">
        <v>348</v>
      </c>
      <c r="B9" s="76" t="s">
        <v>506</v>
      </c>
      <c r="C9" s="76"/>
      <c r="D9" s="76"/>
      <c r="E9" s="7" t="s">
        <v>345</v>
      </c>
      <c r="F9" s="7"/>
      <c r="G9" s="7"/>
    </row>
    <row r="10" customFormat="false" ht="15" hidden="false" customHeight="false" outlineLevel="0" collapsed="false">
      <c r="A10" s="63" t="s">
        <v>209</v>
      </c>
      <c r="B10" s="65" t="n">
        <v>0</v>
      </c>
      <c r="C10" s="65"/>
      <c r="D10" s="65"/>
      <c r="E10" s="18"/>
      <c r="F10" s="18"/>
      <c r="G10" s="18"/>
    </row>
    <row r="11" customFormat="false" ht="15" hidden="false" customHeight="false" outlineLevel="0" collapsed="false">
      <c r="A11" s="22" t="s">
        <v>351</v>
      </c>
      <c r="B11" s="62" t="n">
        <v>0</v>
      </c>
      <c r="C11" s="62"/>
      <c r="D11" s="62"/>
      <c r="E11" s="7"/>
      <c r="F11" s="7"/>
      <c r="G11" s="7"/>
    </row>
    <row r="12" customFormat="false" ht="15" hidden="false" customHeight="false" outlineLevel="0" collapsed="false">
      <c r="A12" s="63" t="s">
        <v>353</v>
      </c>
      <c r="B12" s="76"/>
      <c r="C12" s="76"/>
      <c r="D12" s="76"/>
      <c r="E12" s="18"/>
      <c r="F12" s="18"/>
      <c r="G12" s="18"/>
    </row>
    <row r="13" customFormat="false" ht="15" hidden="false" customHeight="true" outlineLevel="0" collapsed="false">
      <c r="A13" s="22" t="s">
        <v>355</v>
      </c>
      <c r="B13" s="62" t="s">
        <v>507</v>
      </c>
      <c r="C13" s="62"/>
      <c r="D13" s="62"/>
      <c r="E13" s="7"/>
      <c r="F13" s="7"/>
      <c r="G13" s="7"/>
    </row>
    <row r="14" customFormat="false" ht="15" hidden="false" customHeight="true" outlineLevel="0" collapsed="false">
      <c r="A14" s="63" t="s">
        <v>215</v>
      </c>
      <c r="B14" s="76"/>
      <c r="C14" s="76"/>
      <c r="D14" s="76"/>
      <c r="E14" s="18" t="s">
        <v>357</v>
      </c>
      <c r="F14" s="18"/>
      <c r="G14" s="18"/>
    </row>
    <row r="15" customFormat="false" ht="15" hidden="false" customHeight="true" outlineLevel="0" collapsed="false">
      <c r="A15" s="22" t="s">
        <v>358</v>
      </c>
      <c r="B15" s="76" t="s">
        <v>506</v>
      </c>
      <c r="C15" s="76"/>
      <c r="D15" s="76"/>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30" hidden="false" customHeight="true" outlineLevel="0" collapsed="false">
      <c r="A20" s="7" t="s">
        <v>140</v>
      </c>
      <c r="B20" s="77"/>
      <c r="C20" s="67" t="n">
        <f aca="false">'01 Scoring Model'!$B$6</f>
        <v>0.2</v>
      </c>
      <c r="D20" s="68" t="str">
        <f aca="false">IF(B20="","",B20*C20)</f>
        <v/>
      </c>
      <c r="E20" s="7"/>
      <c r="F20" s="7"/>
      <c r="G20" s="7"/>
    </row>
    <row r="21" customFormat="false" ht="30" hidden="false" customHeight="true" outlineLevel="0" collapsed="false">
      <c r="A21" s="18" t="s">
        <v>142</v>
      </c>
      <c r="B21" s="77"/>
      <c r="C21" s="70" t="n">
        <f aca="false">'01 Scoring Model'!$B$7</f>
        <v>0.2</v>
      </c>
      <c r="D21" s="71" t="str">
        <f aca="false">IF(B21="","",B21*C21)</f>
        <v/>
      </c>
      <c r="E21" s="18"/>
      <c r="F21" s="18"/>
      <c r="G21" s="18"/>
    </row>
    <row r="22" customFormat="false" ht="30" hidden="false" customHeight="true" outlineLevel="0" collapsed="false">
      <c r="A22" s="7" t="s">
        <v>144</v>
      </c>
      <c r="B22" s="77"/>
      <c r="C22" s="67" t="n">
        <f aca="false">'01 Scoring Model'!$B$8</f>
        <v>0.2</v>
      </c>
      <c r="D22" s="68" t="str">
        <f aca="false">IF(B22="","",B22*C22)</f>
        <v/>
      </c>
      <c r="E22" s="7"/>
      <c r="F22" s="7"/>
      <c r="G22" s="7"/>
    </row>
    <row r="23" customFormat="false" ht="30" hidden="false" customHeight="true" outlineLevel="0" collapsed="false">
      <c r="A23" s="18" t="s">
        <v>146</v>
      </c>
      <c r="B23" s="77"/>
      <c r="C23" s="70" t="n">
        <f aca="false">'01 Scoring Model'!$B$9</f>
        <v>0.1</v>
      </c>
      <c r="D23" s="71" t="str">
        <f aca="false">IF(B23="","",B23*C23)</f>
        <v/>
      </c>
      <c r="E23" s="18"/>
      <c r="F23" s="18"/>
      <c r="G23" s="18"/>
    </row>
    <row r="24" customFormat="false" ht="30" hidden="false" customHeight="true" outlineLevel="0" collapsed="false">
      <c r="A24" s="7" t="s">
        <v>148</v>
      </c>
      <c r="B24" s="77"/>
      <c r="C24" s="67" t="n">
        <f aca="false">'01 Scoring Model'!$B$10</f>
        <v>0.1</v>
      </c>
      <c r="D24" s="68" t="str">
        <f aca="false">IF(B24="","",B24*C24)</f>
        <v/>
      </c>
      <c r="E24" s="7"/>
      <c r="F24" s="7"/>
      <c r="G24" s="7"/>
    </row>
    <row r="25" customFormat="false" ht="30" hidden="false" customHeight="true" outlineLevel="0" collapsed="false">
      <c r="A25" s="18" t="s">
        <v>150</v>
      </c>
      <c r="B25" s="77"/>
      <c r="C25" s="70" t="n">
        <f aca="false">'01 Scoring Model'!$B$11</f>
        <v>0.1</v>
      </c>
      <c r="D25" s="71" t="str">
        <f aca="false">IF(B25="","",B25*C25)</f>
        <v/>
      </c>
      <c r="E25" s="18"/>
      <c r="F25" s="18"/>
      <c r="G25" s="18"/>
    </row>
    <row r="26" customFormat="false" ht="30" hidden="false" customHeight="true" outlineLevel="0" collapsed="false">
      <c r="A26" s="7" t="s">
        <v>152</v>
      </c>
      <c r="B26" s="77"/>
      <c r="C26" s="67" t="n">
        <f aca="false">'01 Scoring Model'!$B$12</f>
        <v>0.1</v>
      </c>
      <c r="D26" s="68" t="str">
        <f aca="false">IF(B26="","",B26*C26)</f>
        <v/>
      </c>
      <c r="E26" s="7"/>
      <c r="F26" s="7"/>
      <c r="G26" s="7"/>
    </row>
    <row r="27" customFormat="false" ht="15" hidden="false" customHeight="true" outlineLevel="0" collapsed="false">
      <c r="A27" s="40" t="s">
        <v>384</v>
      </c>
      <c r="B27" s="42"/>
      <c r="C27" s="42"/>
      <c r="D27" s="72" t="str">
        <f aca="false">IF(COUNT(B20:B26)=0,"",ROUND(SUM(D20:D26),2))</f>
        <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3"/>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3"/>
      <c r="E48" s="18"/>
      <c r="F48" s="18"/>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74" t="s">
        <v>459</v>
      </c>
      <c r="C60" s="74"/>
      <c r="D60" s="74"/>
      <c r="E60" s="7"/>
      <c r="F60" s="7"/>
      <c r="G60" s="7"/>
    </row>
    <row r="61" customFormat="false" ht="15" hidden="false" customHeight="false" outlineLevel="0" collapsed="false">
      <c r="A61" s="18" t="s">
        <v>453</v>
      </c>
      <c r="B61" s="74" t="s">
        <v>459</v>
      </c>
      <c r="C61" s="74"/>
      <c r="D61" s="74"/>
      <c r="E61" s="18"/>
      <c r="F61" s="18"/>
      <c r="G61" s="18"/>
    </row>
    <row r="62" customFormat="false" ht="15" hidden="false" customHeight="false" outlineLevel="0" collapsed="false">
      <c r="A62" s="7" t="s">
        <v>455</v>
      </c>
      <c r="B62" s="74" t="s">
        <v>459</v>
      </c>
      <c r="C62" s="74"/>
      <c r="D62" s="74"/>
      <c r="E62" s="7"/>
      <c r="F62" s="7"/>
      <c r="G62" s="7"/>
    </row>
    <row r="63" customFormat="false" ht="23.85" hidden="false" customHeight="false" outlineLevel="0" collapsed="false">
      <c r="A63" s="18" t="s">
        <v>458</v>
      </c>
      <c r="B63" s="74" t="s">
        <v>459</v>
      </c>
      <c r="C63" s="74"/>
      <c r="D63" s="74"/>
      <c r="E63" s="18"/>
      <c r="F63" s="18"/>
      <c r="G63" s="18"/>
    </row>
    <row r="64" customFormat="false" ht="23.85" hidden="false" customHeight="false" outlineLevel="0" collapsed="false">
      <c r="A64" s="7" t="s">
        <v>461</v>
      </c>
      <c r="B64" s="74" t="s">
        <v>459</v>
      </c>
      <c r="C64" s="74"/>
      <c r="D64" s="74"/>
      <c r="E64" s="7"/>
      <c r="F64" s="7"/>
      <c r="G64" s="7"/>
    </row>
    <row r="65" customFormat="false" ht="15" hidden="false" customHeight="false" outlineLevel="0" collapsed="false">
      <c r="A65" s="18" t="s">
        <v>463</v>
      </c>
      <c r="B65" s="74" t="s">
        <v>459</v>
      </c>
      <c r="C65" s="74"/>
      <c r="D65" s="74"/>
      <c r="E65" s="18"/>
      <c r="F65" s="18"/>
      <c r="G65" s="18"/>
    </row>
    <row r="66" customFormat="false" ht="15" hidden="false" customHeight="false" outlineLevel="0" collapsed="false">
      <c r="A66" s="7" t="s">
        <v>465</v>
      </c>
      <c r="B66" s="74" t="s">
        <v>459</v>
      </c>
      <c r="C66" s="74"/>
      <c r="D66" s="74"/>
      <c r="E66" s="7"/>
      <c r="F66" s="7"/>
      <c r="G66" s="7"/>
    </row>
    <row r="67" customFormat="false" ht="15" hidden="false" customHeight="false" outlineLevel="0" collapsed="false">
      <c r="A67" s="18" t="s">
        <v>468</v>
      </c>
      <c r="B67" s="74" t="s">
        <v>459</v>
      </c>
      <c r="C67" s="74"/>
      <c r="D67" s="74"/>
      <c r="E67" s="18"/>
      <c r="F67" s="18"/>
      <c r="G67" s="18"/>
    </row>
    <row r="68" customFormat="false" ht="15" hidden="false" customHeight="false" outlineLevel="0" collapsed="false">
      <c r="A68" s="7" t="s">
        <v>471</v>
      </c>
      <c r="B68" s="74" t="s">
        <v>459</v>
      </c>
      <c r="C68" s="74"/>
      <c r="D68" s="74"/>
      <c r="E68" s="7"/>
      <c r="F68" s="7"/>
      <c r="G68" s="7"/>
    </row>
    <row r="69" customFormat="false" ht="23.85" hidden="false" customHeight="false" outlineLevel="0" collapsed="false">
      <c r="A69" s="18" t="s">
        <v>474</v>
      </c>
      <c r="B69" s="74" t="s">
        <v>459</v>
      </c>
      <c r="C69" s="74"/>
      <c r="D69" s="74"/>
      <c r="E69" s="18"/>
      <c r="F69" s="18"/>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false" outlineLevel="0" collapsed="false">
      <c r="A73" s="7" t="s">
        <v>478</v>
      </c>
      <c r="B73" s="7"/>
      <c r="C73" s="7"/>
      <c r="D73" s="7"/>
      <c r="E73" s="7"/>
      <c r="F73" s="7"/>
      <c r="G73" s="7"/>
    </row>
    <row r="74" customFormat="false" ht="15" hidden="false" customHeight="false" outlineLevel="0" collapsed="false">
      <c r="A74" s="18" t="s">
        <v>480</v>
      </c>
      <c r="B74" s="18"/>
      <c r="C74" s="18"/>
      <c r="D74" s="18"/>
      <c r="E74" s="18"/>
      <c r="F74" s="18"/>
      <c r="G74" s="18"/>
    </row>
    <row r="75" customFormat="false" ht="15" hidden="false" customHeight="false" outlineLevel="0" collapsed="false">
      <c r="A75" s="7" t="s">
        <v>482</v>
      </c>
      <c r="B75" s="7"/>
      <c r="C75" s="7"/>
      <c r="D75" s="7"/>
      <c r="E75" s="7"/>
      <c r="F75" s="7"/>
      <c r="G75" s="7"/>
    </row>
    <row r="76" customFormat="false" ht="15" hidden="false" customHeight="false" outlineLevel="0" collapsed="false">
      <c r="A76" s="18" t="s">
        <v>484</v>
      </c>
      <c r="B76" s="18"/>
      <c r="C76" s="18"/>
      <c r="D76" s="18"/>
      <c r="E76" s="18"/>
      <c r="F76" s="18"/>
      <c r="G76" s="18"/>
    </row>
    <row r="77" customFormat="false" ht="15" hidden="false" customHeight="false" outlineLevel="0" collapsed="false">
      <c r="A77" s="7" t="s">
        <v>486</v>
      </c>
      <c r="B77" s="7"/>
      <c r="C77" s="7"/>
      <c r="D77" s="7"/>
      <c r="E77" s="7"/>
      <c r="F77" s="7"/>
      <c r="G77" s="7"/>
    </row>
    <row r="79" customFormat="false" ht="18" hidden="false" customHeight="true" outlineLevel="0" collapsed="false">
      <c r="A79" s="3" t="s">
        <v>488</v>
      </c>
      <c r="B79" s="4"/>
      <c r="C79" s="4"/>
      <c r="D79" s="4"/>
      <c r="E79" s="4"/>
      <c r="F79" s="4"/>
      <c r="G79" s="4"/>
    </row>
    <row r="80" customFormat="false" ht="15" hidden="false" customHeight="true" outlineLevel="0" collapsed="false">
      <c r="A80" s="22" t="s">
        <v>489</v>
      </c>
      <c r="B80" s="76"/>
      <c r="C80" s="76"/>
      <c r="D80" s="76"/>
      <c r="E80" s="7" t="s">
        <v>491</v>
      </c>
      <c r="F80" s="7"/>
      <c r="G80" s="7"/>
    </row>
    <row r="81" customFormat="false" ht="15" hidden="false" customHeight="true" outlineLevel="0" collapsed="false">
      <c r="A81" s="63" t="s">
        <v>492</v>
      </c>
      <c r="B81" s="64"/>
      <c r="C81" s="64"/>
      <c r="D81" s="64"/>
      <c r="E81" s="18" t="s">
        <v>494</v>
      </c>
      <c r="F81" s="18"/>
      <c r="G81" s="18"/>
    </row>
    <row r="82" customFormat="false" ht="15" hidden="false" customHeight="true" outlineLevel="0" collapsed="false">
      <c r="A82" s="22" t="s">
        <v>495</v>
      </c>
      <c r="B82" s="62"/>
      <c r="C82" s="62"/>
      <c r="D82" s="62"/>
      <c r="E82" s="7" t="s">
        <v>497</v>
      </c>
      <c r="F82" s="7"/>
      <c r="G82" s="7"/>
    </row>
    <row r="83" customFormat="false" ht="15" hidden="false" customHeight="true" outlineLevel="0" collapsed="false">
      <c r="A83" s="63" t="s">
        <v>498</v>
      </c>
      <c r="B83" s="76"/>
      <c r="C83" s="76"/>
      <c r="D83" s="76"/>
      <c r="E83" s="18" t="s">
        <v>499</v>
      </c>
      <c r="F83" s="18"/>
      <c r="G83" s="18"/>
    </row>
    <row r="84" customFormat="false" ht="15" hidden="false" customHeight="true" outlineLevel="0" collapsed="false">
      <c r="A84" s="22" t="s">
        <v>500</v>
      </c>
      <c r="B84" s="62"/>
      <c r="C84" s="62"/>
      <c r="D84" s="62"/>
      <c r="E84" s="7" t="s">
        <v>501</v>
      </c>
      <c r="F84" s="7"/>
      <c r="G84" s="7"/>
    </row>
    <row r="85" customFormat="false" ht="15" hidden="false" customHeight="true" outlineLevel="0" collapsed="false">
      <c r="A85" s="63" t="s">
        <v>502</v>
      </c>
      <c r="B85" s="64"/>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510</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220</v>
      </c>
      <c r="C5" s="62"/>
      <c r="D5" s="62"/>
      <c r="E5" s="7"/>
      <c r="F5" s="7"/>
      <c r="G5" s="7"/>
    </row>
    <row r="6" customFormat="false" ht="15" hidden="false" customHeight="true" outlineLevel="0" collapsed="false">
      <c r="A6" s="63" t="s">
        <v>341</v>
      </c>
      <c r="B6" s="76"/>
      <c r="C6" s="76"/>
      <c r="D6" s="76"/>
      <c r="E6" s="18" t="s">
        <v>343</v>
      </c>
      <c r="F6" s="18"/>
      <c r="G6" s="18"/>
    </row>
    <row r="7" customFormat="false" ht="15" hidden="false" customHeight="true" outlineLevel="0" collapsed="false">
      <c r="A7" s="22" t="s">
        <v>344</v>
      </c>
      <c r="B7" s="76" t="s">
        <v>506</v>
      </c>
      <c r="C7" s="76"/>
      <c r="D7" s="76"/>
      <c r="E7" s="7" t="s">
        <v>345</v>
      </c>
      <c r="F7" s="7"/>
      <c r="G7" s="7"/>
    </row>
    <row r="8" customFormat="false" ht="15" hidden="false" customHeight="true" outlineLevel="0" collapsed="false">
      <c r="A8" s="63" t="s">
        <v>346</v>
      </c>
      <c r="B8" s="76" t="s">
        <v>506</v>
      </c>
      <c r="C8" s="76"/>
      <c r="D8" s="76"/>
      <c r="E8" s="18" t="s">
        <v>345</v>
      </c>
      <c r="F8" s="18"/>
      <c r="G8" s="18"/>
    </row>
    <row r="9" customFormat="false" ht="15" hidden="false" customHeight="true" outlineLevel="0" collapsed="false">
      <c r="A9" s="22" t="s">
        <v>348</v>
      </c>
      <c r="B9" s="76" t="s">
        <v>506</v>
      </c>
      <c r="C9" s="76"/>
      <c r="D9" s="76"/>
      <c r="E9" s="7" t="s">
        <v>345</v>
      </c>
      <c r="F9" s="7"/>
      <c r="G9" s="7"/>
    </row>
    <row r="10" customFormat="false" ht="15" hidden="false" customHeight="false" outlineLevel="0" collapsed="false">
      <c r="A10" s="63" t="s">
        <v>209</v>
      </c>
      <c r="B10" s="65" t="n">
        <v>0</v>
      </c>
      <c r="C10" s="65"/>
      <c r="D10" s="65"/>
      <c r="E10" s="18"/>
      <c r="F10" s="18"/>
      <c r="G10" s="18"/>
    </row>
    <row r="11" customFormat="false" ht="15" hidden="false" customHeight="false" outlineLevel="0" collapsed="false">
      <c r="A11" s="22" t="s">
        <v>351</v>
      </c>
      <c r="B11" s="62" t="n">
        <v>0</v>
      </c>
      <c r="C11" s="62"/>
      <c r="D11" s="62"/>
      <c r="E11" s="7"/>
      <c r="F11" s="7"/>
      <c r="G11" s="7"/>
    </row>
    <row r="12" customFormat="false" ht="15" hidden="false" customHeight="false" outlineLevel="0" collapsed="false">
      <c r="A12" s="63" t="s">
        <v>353</v>
      </c>
      <c r="B12" s="76"/>
      <c r="C12" s="76"/>
      <c r="D12" s="76"/>
      <c r="E12" s="18"/>
      <c r="F12" s="18"/>
      <c r="G12" s="18"/>
    </row>
    <row r="13" customFormat="false" ht="15" hidden="false" customHeight="true" outlineLevel="0" collapsed="false">
      <c r="A13" s="22" t="s">
        <v>355</v>
      </c>
      <c r="B13" s="62" t="s">
        <v>507</v>
      </c>
      <c r="C13" s="62"/>
      <c r="D13" s="62"/>
      <c r="E13" s="7"/>
      <c r="F13" s="7"/>
      <c r="G13" s="7"/>
    </row>
    <row r="14" customFormat="false" ht="15" hidden="false" customHeight="true" outlineLevel="0" collapsed="false">
      <c r="A14" s="63" t="s">
        <v>215</v>
      </c>
      <c r="B14" s="76"/>
      <c r="C14" s="76"/>
      <c r="D14" s="76"/>
      <c r="E14" s="18" t="s">
        <v>357</v>
      </c>
      <c r="F14" s="18"/>
      <c r="G14" s="18"/>
    </row>
    <row r="15" customFormat="false" ht="15" hidden="false" customHeight="true" outlineLevel="0" collapsed="false">
      <c r="A15" s="22" t="s">
        <v>358</v>
      </c>
      <c r="B15" s="76" t="s">
        <v>506</v>
      </c>
      <c r="C15" s="76"/>
      <c r="D15" s="76"/>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30" hidden="false" customHeight="true" outlineLevel="0" collapsed="false">
      <c r="A20" s="7" t="s">
        <v>140</v>
      </c>
      <c r="B20" s="77"/>
      <c r="C20" s="67" t="n">
        <f aca="false">'01 Scoring Model'!$B$6</f>
        <v>0.2</v>
      </c>
      <c r="D20" s="68" t="str">
        <f aca="false">IF(B20="","",B20*C20)</f>
        <v/>
      </c>
      <c r="E20" s="7"/>
      <c r="F20" s="7"/>
      <c r="G20" s="7"/>
    </row>
    <row r="21" customFormat="false" ht="30" hidden="false" customHeight="true" outlineLevel="0" collapsed="false">
      <c r="A21" s="18" t="s">
        <v>142</v>
      </c>
      <c r="B21" s="77"/>
      <c r="C21" s="70" t="n">
        <f aca="false">'01 Scoring Model'!$B$7</f>
        <v>0.2</v>
      </c>
      <c r="D21" s="71" t="str">
        <f aca="false">IF(B21="","",B21*C21)</f>
        <v/>
      </c>
      <c r="E21" s="18"/>
      <c r="F21" s="18"/>
      <c r="G21" s="18"/>
    </row>
    <row r="22" customFormat="false" ht="30" hidden="false" customHeight="true" outlineLevel="0" collapsed="false">
      <c r="A22" s="7" t="s">
        <v>144</v>
      </c>
      <c r="B22" s="77"/>
      <c r="C22" s="67" t="n">
        <f aca="false">'01 Scoring Model'!$B$8</f>
        <v>0.2</v>
      </c>
      <c r="D22" s="68" t="str">
        <f aca="false">IF(B22="","",B22*C22)</f>
        <v/>
      </c>
      <c r="E22" s="7"/>
      <c r="F22" s="7"/>
      <c r="G22" s="7"/>
    </row>
    <row r="23" customFormat="false" ht="30" hidden="false" customHeight="true" outlineLevel="0" collapsed="false">
      <c r="A23" s="18" t="s">
        <v>146</v>
      </c>
      <c r="B23" s="77"/>
      <c r="C23" s="70" t="n">
        <f aca="false">'01 Scoring Model'!$B$9</f>
        <v>0.1</v>
      </c>
      <c r="D23" s="71" t="str">
        <f aca="false">IF(B23="","",B23*C23)</f>
        <v/>
      </c>
      <c r="E23" s="18"/>
      <c r="F23" s="18"/>
      <c r="G23" s="18"/>
    </row>
    <row r="24" customFormat="false" ht="30" hidden="false" customHeight="true" outlineLevel="0" collapsed="false">
      <c r="A24" s="7" t="s">
        <v>148</v>
      </c>
      <c r="B24" s="77"/>
      <c r="C24" s="67" t="n">
        <f aca="false">'01 Scoring Model'!$B$10</f>
        <v>0.1</v>
      </c>
      <c r="D24" s="68" t="str">
        <f aca="false">IF(B24="","",B24*C24)</f>
        <v/>
      </c>
      <c r="E24" s="7"/>
      <c r="F24" s="7"/>
      <c r="G24" s="7"/>
    </row>
    <row r="25" customFormat="false" ht="30" hidden="false" customHeight="true" outlineLevel="0" collapsed="false">
      <c r="A25" s="18" t="s">
        <v>150</v>
      </c>
      <c r="B25" s="77"/>
      <c r="C25" s="70" t="n">
        <f aca="false">'01 Scoring Model'!$B$11</f>
        <v>0.1</v>
      </c>
      <c r="D25" s="71" t="str">
        <f aca="false">IF(B25="","",B25*C25)</f>
        <v/>
      </c>
      <c r="E25" s="18"/>
      <c r="F25" s="18"/>
      <c r="G25" s="18"/>
    </row>
    <row r="26" customFormat="false" ht="30" hidden="false" customHeight="true" outlineLevel="0" collapsed="false">
      <c r="A26" s="7" t="s">
        <v>152</v>
      </c>
      <c r="B26" s="77"/>
      <c r="C26" s="67" t="n">
        <f aca="false">'01 Scoring Model'!$B$12</f>
        <v>0.1</v>
      </c>
      <c r="D26" s="68" t="str">
        <f aca="false">IF(B26="","",B26*C26)</f>
        <v/>
      </c>
      <c r="E26" s="7"/>
      <c r="F26" s="7"/>
      <c r="G26" s="7"/>
    </row>
    <row r="27" customFormat="false" ht="15" hidden="false" customHeight="true" outlineLevel="0" collapsed="false">
      <c r="A27" s="40" t="s">
        <v>384</v>
      </c>
      <c r="B27" s="42"/>
      <c r="C27" s="42"/>
      <c r="D27" s="72" t="str">
        <f aca="false">IF(COUNT(B20:B26)=0,"",ROUND(SUM(D20:D26),2))</f>
        <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3"/>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3"/>
      <c r="E48" s="18"/>
      <c r="F48" s="18"/>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74" t="s">
        <v>459</v>
      </c>
      <c r="C60" s="74"/>
      <c r="D60" s="74"/>
      <c r="E60" s="7"/>
      <c r="F60" s="7"/>
      <c r="G60" s="7"/>
    </row>
    <row r="61" customFormat="false" ht="15" hidden="false" customHeight="false" outlineLevel="0" collapsed="false">
      <c r="A61" s="18" t="s">
        <v>453</v>
      </c>
      <c r="B61" s="74" t="s">
        <v>459</v>
      </c>
      <c r="C61" s="74"/>
      <c r="D61" s="74"/>
      <c r="E61" s="18"/>
      <c r="F61" s="18"/>
      <c r="G61" s="18"/>
    </row>
    <row r="62" customFormat="false" ht="15" hidden="false" customHeight="false" outlineLevel="0" collapsed="false">
      <c r="A62" s="7" t="s">
        <v>455</v>
      </c>
      <c r="B62" s="74" t="s">
        <v>459</v>
      </c>
      <c r="C62" s="74"/>
      <c r="D62" s="74"/>
      <c r="E62" s="7"/>
      <c r="F62" s="7"/>
      <c r="G62" s="7"/>
    </row>
    <row r="63" customFormat="false" ht="23.85" hidden="false" customHeight="false" outlineLevel="0" collapsed="false">
      <c r="A63" s="18" t="s">
        <v>458</v>
      </c>
      <c r="B63" s="74" t="s">
        <v>459</v>
      </c>
      <c r="C63" s="74"/>
      <c r="D63" s="74"/>
      <c r="E63" s="18"/>
      <c r="F63" s="18"/>
      <c r="G63" s="18"/>
    </row>
    <row r="64" customFormat="false" ht="23.85" hidden="false" customHeight="false" outlineLevel="0" collapsed="false">
      <c r="A64" s="7" t="s">
        <v>461</v>
      </c>
      <c r="B64" s="74" t="s">
        <v>459</v>
      </c>
      <c r="C64" s="74"/>
      <c r="D64" s="74"/>
      <c r="E64" s="7"/>
      <c r="F64" s="7"/>
      <c r="G64" s="7"/>
    </row>
    <row r="65" customFormat="false" ht="15" hidden="false" customHeight="false" outlineLevel="0" collapsed="false">
      <c r="A65" s="18" t="s">
        <v>463</v>
      </c>
      <c r="B65" s="74" t="s">
        <v>459</v>
      </c>
      <c r="C65" s="74"/>
      <c r="D65" s="74"/>
      <c r="E65" s="18"/>
      <c r="F65" s="18"/>
      <c r="G65" s="18"/>
    </row>
    <row r="66" customFormat="false" ht="15" hidden="false" customHeight="false" outlineLevel="0" collapsed="false">
      <c r="A66" s="7" t="s">
        <v>465</v>
      </c>
      <c r="B66" s="74" t="s">
        <v>459</v>
      </c>
      <c r="C66" s="74"/>
      <c r="D66" s="74"/>
      <c r="E66" s="7"/>
      <c r="F66" s="7"/>
      <c r="G66" s="7"/>
    </row>
    <row r="67" customFormat="false" ht="15" hidden="false" customHeight="false" outlineLevel="0" collapsed="false">
      <c r="A67" s="18" t="s">
        <v>468</v>
      </c>
      <c r="B67" s="74" t="s">
        <v>459</v>
      </c>
      <c r="C67" s="74"/>
      <c r="D67" s="74"/>
      <c r="E67" s="18"/>
      <c r="F67" s="18"/>
      <c r="G67" s="18"/>
    </row>
    <row r="68" customFormat="false" ht="15" hidden="false" customHeight="false" outlineLevel="0" collapsed="false">
      <c r="A68" s="7" t="s">
        <v>471</v>
      </c>
      <c r="B68" s="74" t="s">
        <v>459</v>
      </c>
      <c r="C68" s="74"/>
      <c r="D68" s="74"/>
      <c r="E68" s="7"/>
      <c r="F68" s="7"/>
      <c r="G68" s="7"/>
    </row>
    <row r="69" customFormat="false" ht="23.85" hidden="false" customHeight="false" outlineLevel="0" collapsed="false">
      <c r="A69" s="18" t="s">
        <v>474</v>
      </c>
      <c r="B69" s="74" t="s">
        <v>459</v>
      </c>
      <c r="C69" s="74"/>
      <c r="D69" s="74"/>
      <c r="E69" s="18"/>
      <c r="F69" s="18"/>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false" outlineLevel="0" collapsed="false">
      <c r="A73" s="7" t="s">
        <v>478</v>
      </c>
      <c r="B73" s="7"/>
      <c r="C73" s="7"/>
      <c r="D73" s="7"/>
      <c r="E73" s="7"/>
      <c r="F73" s="7"/>
      <c r="G73" s="7"/>
    </row>
    <row r="74" customFormat="false" ht="15" hidden="false" customHeight="false" outlineLevel="0" collapsed="false">
      <c r="A74" s="18" t="s">
        <v>480</v>
      </c>
      <c r="B74" s="18"/>
      <c r="C74" s="18"/>
      <c r="D74" s="18"/>
      <c r="E74" s="18"/>
      <c r="F74" s="18"/>
      <c r="G74" s="18"/>
    </row>
    <row r="75" customFormat="false" ht="15" hidden="false" customHeight="false" outlineLevel="0" collapsed="false">
      <c r="A75" s="7" t="s">
        <v>482</v>
      </c>
      <c r="B75" s="7"/>
      <c r="C75" s="7"/>
      <c r="D75" s="7"/>
      <c r="E75" s="7"/>
      <c r="F75" s="7"/>
      <c r="G75" s="7"/>
    </row>
    <row r="76" customFormat="false" ht="15" hidden="false" customHeight="false" outlineLevel="0" collapsed="false">
      <c r="A76" s="18" t="s">
        <v>484</v>
      </c>
      <c r="B76" s="18"/>
      <c r="C76" s="18"/>
      <c r="D76" s="18"/>
      <c r="E76" s="18"/>
      <c r="F76" s="18"/>
      <c r="G76" s="18"/>
    </row>
    <row r="77" customFormat="false" ht="15" hidden="false" customHeight="false" outlineLevel="0" collapsed="false">
      <c r="A77" s="7" t="s">
        <v>486</v>
      </c>
      <c r="B77" s="7"/>
      <c r="C77" s="7"/>
      <c r="D77" s="7"/>
      <c r="E77" s="7"/>
      <c r="F77" s="7"/>
      <c r="G77" s="7"/>
    </row>
    <row r="79" customFormat="false" ht="18" hidden="false" customHeight="true" outlineLevel="0" collapsed="false">
      <c r="A79" s="3" t="s">
        <v>488</v>
      </c>
      <c r="B79" s="4"/>
      <c r="C79" s="4"/>
      <c r="D79" s="4"/>
      <c r="E79" s="4"/>
      <c r="F79" s="4"/>
      <c r="G79" s="4"/>
    </row>
    <row r="80" customFormat="false" ht="15" hidden="false" customHeight="true" outlineLevel="0" collapsed="false">
      <c r="A80" s="22" t="s">
        <v>489</v>
      </c>
      <c r="B80" s="76"/>
      <c r="C80" s="76"/>
      <c r="D80" s="76"/>
      <c r="E80" s="7" t="s">
        <v>491</v>
      </c>
      <c r="F80" s="7"/>
      <c r="G80" s="7"/>
    </row>
    <row r="81" customFormat="false" ht="15" hidden="false" customHeight="true" outlineLevel="0" collapsed="false">
      <c r="A81" s="63" t="s">
        <v>492</v>
      </c>
      <c r="B81" s="64"/>
      <c r="C81" s="64"/>
      <c r="D81" s="64"/>
      <c r="E81" s="18" t="s">
        <v>494</v>
      </c>
      <c r="F81" s="18"/>
      <c r="G81" s="18"/>
    </row>
    <row r="82" customFormat="false" ht="15" hidden="false" customHeight="true" outlineLevel="0" collapsed="false">
      <c r="A82" s="22" t="s">
        <v>495</v>
      </c>
      <c r="B82" s="62"/>
      <c r="C82" s="62"/>
      <c r="D82" s="62"/>
      <c r="E82" s="7" t="s">
        <v>497</v>
      </c>
      <c r="F82" s="7"/>
      <c r="G82" s="7"/>
    </row>
    <row r="83" customFormat="false" ht="15" hidden="false" customHeight="true" outlineLevel="0" collapsed="false">
      <c r="A83" s="63" t="s">
        <v>498</v>
      </c>
      <c r="B83" s="76"/>
      <c r="C83" s="76"/>
      <c r="D83" s="76"/>
      <c r="E83" s="18" t="s">
        <v>499</v>
      </c>
      <c r="F83" s="18"/>
      <c r="G83" s="18"/>
    </row>
    <row r="84" customFormat="false" ht="15" hidden="false" customHeight="true" outlineLevel="0" collapsed="false">
      <c r="A84" s="22" t="s">
        <v>500</v>
      </c>
      <c r="B84" s="62"/>
      <c r="C84" s="62"/>
      <c r="D84" s="62"/>
      <c r="E84" s="7" t="s">
        <v>501</v>
      </c>
      <c r="F84" s="7"/>
      <c r="G84" s="7"/>
    </row>
    <row r="85" customFormat="false" ht="15" hidden="false" customHeight="true" outlineLevel="0" collapsed="false">
      <c r="A85" s="63" t="s">
        <v>502</v>
      </c>
      <c r="B85" s="64"/>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511</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221</v>
      </c>
      <c r="C5" s="62"/>
      <c r="D5" s="62"/>
      <c r="E5" s="7"/>
      <c r="F5" s="7"/>
      <c r="G5" s="7"/>
    </row>
    <row r="6" customFormat="false" ht="15" hidden="false" customHeight="true" outlineLevel="0" collapsed="false">
      <c r="A6" s="63" t="s">
        <v>341</v>
      </c>
      <c r="B6" s="76"/>
      <c r="C6" s="76"/>
      <c r="D6" s="76"/>
      <c r="E6" s="18" t="s">
        <v>343</v>
      </c>
      <c r="F6" s="18"/>
      <c r="G6" s="18"/>
    </row>
    <row r="7" customFormat="false" ht="15" hidden="false" customHeight="true" outlineLevel="0" collapsed="false">
      <c r="A7" s="22" t="s">
        <v>344</v>
      </c>
      <c r="B7" s="76" t="s">
        <v>506</v>
      </c>
      <c r="C7" s="76"/>
      <c r="D7" s="76"/>
      <c r="E7" s="7" t="s">
        <v>345</v>
      </c>
      <c r="F7" s="7"/>
      <c r="G7" s="7"/>
    </row>
    <row r="8" customFormat="false" ht="15" hidden="false" customHeight="true" outlineLevel="0" collapsed="false">
      <c r="A8" s="63" t="s">
        <v>346</v>
      </c>
      <c r="B8" s="76" t="s">
        <v>506</v>
      </c>
      <c r="C8" s="76"/>
      <c r="D8" s="76"/>
      <c r="E8" s="18" t="s">
        <v>345</v>
      </c>
      <c r="F8" s="18"/>
      <c r="G8" s="18"/>
    </row>
    <row r="9" customFormat="false" ht="15" hidden="false" customHeight="true" outlineLevel="0" collapsed="false">
      <c r="A9" s="22" t="s">
        <v>348</v>
      </c>
      <c r="B9" s="76" t="s">
        <v>506</v>
      </c>
      <c r="C9" s="76"/>
      <c r="D9" s="76"/>
      <c r="E9" s="7" t="s">
        <v>345</v>
      </c>
      <c r="F9" s="7"/>
      <c r="G9" s="7"/>
    </row>
    <row r="10" customFormat="false" ht="15" hidden="false" customHeight="false" outlineLevel="0" collapsed="false">
      <c r="A10" s="63" t="s">
        <v>209</v>
      </c>
      <c r="B10" s="65" t="n">
        <v>0</v>
      </c>
      <c r="C10" s="65"/>
      <c r="D10" s="65"/>
      <c r="E10" s="18"/>
      <c r="F10" s="18"/>
      <c r="G10" s="18"/>
    </row>
    <row r="11" customFormat="false" ht="15" hidden="false" customHeight="false" outlineLevel="0" collapsed="false">
      <c r="A11" s="22" t="s">
        <v>351</v>
      </c>
      <c r="B11" s="62" t="n">
        <v>0</v>
      </c>
      <c r="C11" s="62"/>
      <c r="D11" s="62"/>
      <c r="E11" s="7"/>
      <c r="F11" s="7"/>
      <c r="G11" s="7"/>
    </row>
    <row r="12" customFormat="false" ht="15" hidden="false" customHeight="false" outlineLevel="0" collapsed="false">
      <c r="A12" s="63" t="s">
        <v>353</v>
      </c>
      <c r="B12" s="76"/>
      <c r="C12" s="76"/>
      <c r="D12" s="76"/>
      <c r="E12" s="18"/>
      <c r="F12" s="18"/>
      <c r="G12" s="18"/>
    </row>
    <row r="13" customFormat="false" ht="15" hidden="false" customHeight="true" outlineLevel="0" collapsed="false">
      <c r="A13" s="22" t="s">
        <v>355</v>
      </c>
      <c r="B13" s="62" t="s">
        <v>507</v>
      </c>
      <c r="C13" s="62"/>
      <c r="D13" s="62"/>
      <c r="E13" s="7"/>
      <c r="F13" s="7"/>
      <c r="G13" s="7"/>
    </row>
    <row r="14" customFormat="false" ht="15" hidden="false" customHeight="true" outlineLevel="0" collapsed="false">
      <c r="A14" s="63" t="s">
        <v>215</v>
      </c>
      <c r="B14" s="76"/>
      <c r="C14" s="76"/>
      <c r="D14" s="76"/>
      <c r="E14" s="18" t="s">
        <v>357</v>
      </c>
      <c r="F14" s="18"/>
      <c r="G14" s="18"/>
    </row>
    <row r="15" customFormat="false" ht="15" hidden="false" customHeight="true" outlineLevel="0" collapsed="false">
      <c r="A15" s="22" t="s">
        <v>358</v>
      </c>
      <c r="B15" s="76" t="s">
        <v>506</v>
      </c>
      <c r="C15" s="76"/>
      <c r="D15" s="76"/>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30" hidden="false" customHeight="true" outlineLevel="0" collapsed="false">
      <c r="A20" s="7" t="s">
        <v>140</v>
      </c>
      <c r="B20" s="77"/>
      <c r="C20" s="67" t="n">
        <f aca="false">'01 Scoring Model'!$B$6</f>
        <v>0.2</v>
      </c>
      <c r="D20" s="68" t="str">
        <f aca="false">IF(B20="","",B20*C20)</f>
        <v/>
      </c>
      <c r="E20" s="7"/>
      <c r="F20" s="7"/>
      <c r="G20" s="7"/>
    </row>
    <row r="21" customFormat="false" ht="30" hidden="false" customHeight="true" outlineLevel="0" collapsed="false">
      <c r="A21" s="18" t="s">
        <v>142</v>
      </c>
      <c r="B21" s="77"/>
      <c r="C21" s="70" t="n">
        <f aca="false">'01 Scoring Model'!$B$7</f>
        <v>0.2</v>
      </c>
      <c r="D21" s="71" t="str">
        <f aca="false">IF(B21="","",B21*C21)</f>
        <v/>
      </c>
      <c r="E21" s="18"/>
      <c r="F21" s="18"/>
      <c r="G21" s="18"/>
    </row>
    <row r="22" customFormat="false" ht="30" hidden="false" customHeight="true" outlineLevel="0" collapsed="false">
      <c r="A22" s="7" t="s">
        <v>144</v>
      </c>
      <c r="B22" s="77"/>
      <c r="C22" s="67" t="n">
        <f aca="false">'01 Scoring Model'!$B$8</f>
        <v>0.2</v>
      </c>
      <c r="D22" s="68" t="str">
        <f aca="false">IF(B22="","",B22*C22)</f>
        <v/>
      </c>
      <c r="E22" s="7"/>
      <c r="F22" s="7"/>
      <c r="G22" s="7"/>
    </row>
    <row r="23" customFormat="false" ht="30" hidden="false" customHeight="true" outlineLevel="0" collapsed="false">
      <c r="A23" s="18" t="s">
        <v>146</v>
      </c>
      <c r="B23" s="77"/>
      <c r="C23" s="70" t="n">
        <f aca="false">'01 Scoring Model'!$B$9</f>
        <v>0.1</v>
      </c>
      <c r="D23" s="71" t="str">
        <f aca="false">IF(B23="","",B23*C23)</f>
        <v/>
      </c>
      <c r="E23" s="18"/>
      <c r="F23" s="18"/>
      <c r="G23" s="18"/>
    </row>
    <row r="24" customFormat="false" ht="30" hidden="false" customHeight="true" outlineLevel="0" collapsed="false">
      <c r="A24" s="7" t="s">
        <v>148</v>
      </c>
      <c r="B24" s="77"/>
      <c r="C24" s="67" t="n">
        <f aca="false">'01 Scoring Model'!$B$10</f>
        <v>0.1</v>
      </c>
      <c r="D24" s="68" t="str">
        <f aca="false">IF(B24="","",B24*C24)</f>
        <v/>
      </c>
      <c r="E24" s="7"/>
      <c r="F24" s="7"/>
      <c r="G24" s="7"/>
    </row>
    <row r="25" customFormat="false" ht="30" hidden="false" customHeight="true" outlineLevel="0" collapsed="false">
      <c r="A25" s="18" t="s">
        <v>150</v>
      </c>
      <c r="B25" s="77"/>
      <c r="C25" s="70" t="n">
        <f aca="false">'01 Scoring Model'!$B$11</f>
        <v>0.1</v>
      </c>
      <c r="D25" s="71" t="str">
        <f aca="false">IF(B25="","",B25*C25)</f>
        <v/>
      </c>
      <c r="E25" s="18"/>
      <c r="F25" s="18"/>
      <c r="G25" s="18"/>
    </row>
    <row r="26" customFormat="false" ht="30" hidden="false" customHeight="true" outlineLevel="0" collapsed="false">
      <c r="A26" s="7" t="s">
        <v>152</v>
      </c>
      <c r="B26" s="77"/>
      <c r="C26" s="67" t="n">
        <f aca="false">'01 Scoring Model'!$B$12</f>
        <v>0.1</v>
      </c>
      <c r="D26" s="68" t="str">
        <f aca="false">IF(B26="","",B26*C26)</f>
        <v/>
      </c>
      <c r="E26" s="7"/>
      <c r="F26" s="7"/>
      <c r="G26" s="7"/>
    </row>
    <row r="27" customFormat="false" ht="15" hidden="false" customHeight="true" outlineLevel="0" collapsed="false">
      <c r="A27" s="40" t="s">
        <v>384</v>
      </c>
      <c r="B27" s="42"/>
      <c r="C27" s="42"/>
      <c r="D27" s="72" t="str">
        <f aca="false">IF(COUNT(B20:B26)=0,"",ROUND(SUM(D20:D26),2))</f>
        <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3"/>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3"/>
      <c r="E48" s="18"/>
      <c r="F48" s="18"/>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74" t="s">
        <v>459</v>
      </c>
      <c r="C60" s="74"/>
      <c r="D60" s="74"/>
      <c r="E60" s="7"/>
      <c r="F60" s="7"/>
      <c r="G60" s="7"/>
    </row>
    <row r="61" customFormat="false" ht="15" hidden="false" customHeight="false" outlineLevel="0" collapsed="false">
      <c r="A61" s="18" t="s">
        <v>453</v>
      </c>
      <c r="B61" s="74" t="s">
        <v>459</v>
      </c>
      <c r="C61" s="74"/>
      <c r="D61" s="74"/>
      <c r="E61" s="18"/>
      <c r="F61" s="18"/>
      <c r="G61" s="18"/>
    </row>
    <row r="62" customFormat="false" ht="15" hidden="false" customHeight="false" outlineLevel="0" collapsed="false">
      <c r="A62" s="7" t="s">
        <v>455</v>
      </c>
      <c r="B62" s="74" t="s">
        <v>459</v>
      </c>
      <c r="C62" s="74"/>
      <c r="D62" s="74"/>
      <c r="E62" s="7"/>
      <c r="F62" s="7"/>
      <c r="G62" s="7"/>
    </row>
    <row r="63" customFormat="false" ht="23.85" hidden="false" customHeight="false" outlineLevel="0" collapsed="false">
      <c r="A63" s="18" t="s">
        <v>458</v>
      </c>
      <c r="B63" s="74" t="s">
        <v>459</v>
      </c>
      <c r="C63" s="74"/>
      <c r="D63" s="74"/>
      <c r="E63" s="18"/>
      <c r="F63" s="18"/>
      <c r="G63" s="18"/>
    </row>
    <row r="64" customFormat="false" ht="23.85" hidden="false" customHeight="false" outlineLevel="0" collapsed="false">
      <c r="A64" s="7" t="s">
        <v>461</v>
      </c>
      <c r="B64" s="74" t="s">
        <v>459</v>
      </c>
      <c r="C64" s="74"/>
      <c r="D64" s="74"/>
      <c r="E64" s="7"/>
      <c r="F64" s="7"/>
      <c r="G64" s="7"/>
    </row>
    <row r="65" customFormat="false" ht="15" hidden="false" customHeight="false" outlineLevel="0" collapsed="false">
      <c r="A65" s="18" t="s">
        <v>463</v>
      </c>
      <c r="B65" s="74" t="s">
        <v>459</v>
      </c>
      <c r="C65" s="74"/>
      <c r="D65" s="74"/>
      <c r="E65" s="18"/>
      <c r="F65" s="18"/>
      <c r="G65" s="18"/>
    </row>
    <row r="66" customFormat="false" ht="15" hidden="false" customHeight="false" outlineLevel="0" collapsed="false">
      <c r="A66" s="7" t="s">
        <v>465</v>
      </c>
      <c r="B66" s="74" t="s">
        <v>459</v>
      </c>
      <c r="C66" s="74"/>
      <c r="D66" s="74"/>
      <c r="E66" s="7"/>
      <c r="F66" s="7"/>
      <c r="G66" s="7"/>
    </row>
    <row r="67" customFormat="false" ht="15" hidden="false" customHeight="false" outlineLevel="0" collapsed="false">
      <c r="A67" s="18" t="s">
        <v>468</v>
      </c>
      <c r="B67" s="74" t="s">
        <v>459</v>
      </c>
      <c r="C67" s="74"/>
      <c r="D67" s="74"/>
      <c r="E67" s="18"/>
      <c r="F67" s="18"/>
      <c r="G67" s="18"/>
    </row>
    <row r="68" customFormat="false" ht="15" hidden="false" customHeight="false" outlineLevel="0" collapsed="false">
      <c r="A68" s="7" t="s">
        <v>471</v>
      </c>
      <c r="B68" s="74" t="s">
        <v>459</v>
      </c>
      <c r="C68" s="74"/>
      <c r="D68" s="74"/>
      <c r="E68" s="7"/>
      <c r="F68" s="7"/>
      <c r="G68" s="7"/>
    </row>
    <row r="69" customFormat="false" ht="23.85" hidden="false" customHeight="false" outlineLevel="0" collapsed="false">
      <c r="A69" s="18" t="s">
        <v>474</v>
      </c>
      <c r="B69" s="74" t="s">
        <v>459</v>
      </c>
      <c r="C69" s="74"/>
      <c r="D69" s="74"/>
      <c r="E69" s="18"/>
      <c r="F69" s="18"/>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false" outlineLevel="0" collapsed="false">
      <c r="A73" s="7" t="s">
        <v>478</v>
      </c>
      <c r="B73" s="7"/>
      <c r="C73" s="7"/>
      <c r="D73" s="7"/>
      <c r="E73" s="7"/>
      <c r="F73" s="7"/>
      <c r="G73" s="7"/>
    </row>
    <row r="74" customFormat="false" ht="15" hidden="false" customHeight="false" outlineLevel="0" collapsed="false">
      <c r="A74" s="18" t="s">
        <v>480</v>
      </c>
      <c r="B74" s="18"/>
      <c r="C74" s="18"/>
      <c r="D74" s="18"/>
      <c r="E74" s="18"/>
      <c r="F74" s="18"/>
      <c r="G74" s="18"/>
    </row>
    <row r="75" customFormat="false" ht="15" hidden="false" customHeight="false" outlineLevel="0" collapsed="false">
      <c r="A75" s="7" t="s">
        <v>482</v>
      </c>
      <c r="B75" s="7"/>
      <c r="C75" s="7"/>
      <c r="D75" s="7"/>
      <c r="E75" s="7"/>
      <c r="F75" s="7"/>
      <c r="G75" s="7"/>
    </row>
    <row r="76" customFormat="false" ht="15" hidden="false" customHeight="false" outlineLevel="0" collapsed="false">
      <c r="A76" s="18" t="s">
        <v>484</v>
      </c>
      <c r="B76" s="18"/>
      <c r="C76" s="18"/>
      <c r="D76" s="18"/>
      <c r="E76" s="18"/>
      <c r="F76" s="18"/>
      <c r="G76" s="18"/>
    </row>
    <row r="77" customFormat="false" ht="15" hidden="false" customHeight="false" outlineLevel="0" collapsed="false">
      <c r="A77" s="7" t="s">
        <v>486</v>
      </c>
      <c r="B77" s="7"/>
      <c r="C77" s="7"/>
      <c r="D77" s="7"/>
      <c r="E77" s="7"/>
      <c r="F77" s="7"/>
      <c r="G77" s="7"/>
    </row>
    <row r="79" customFormat="false" ht="18" hidden="false" customHeight="true" outlineLevel="0" collapsed="false">
      <c r="A79" s="3" t="s">
        <v>488</v>
      </c>
      <c r="B79" s="4"/>
      <c r="C79" s="4"/>
      <c r="D79" s="4"/>
      <c r="E79" s="4"/>
      <c r="F79" s="4"/>
      <c r="G79" s="4"/>
    </row>
    <row r="80" customFormat="false" ht="15" hidden="false" customHeight="true" outlineLevel="0" collapsed="false">
      <c r="A80" s="22" t="s">
        <v>489</v>
      </c>
      <c r="B80" s="76"/>
      <c r="C80" s="76"/>
      <c r="D80" s="76"/>
      <c r="E80" s="7" t="s">
        <v>491</v>
      </c>
      <c r="F80" s="7"/>
      <c r="G80" s="7"/>
    </row>
    <row r="81" customFormat="false" ht="15" hidden="false" customHeight="true" outlineLevel="0" collapsed="false">
      <c r="A81" s="63" t="s">
        <v>492</v>
      </c>
      <c r="B81" s="64"/>
      <c r="C81" s="64"/>
      <c r="D81" s="64"/>
      <c r="E81" s="18" t="s">
        <v>494</v>
      </c>
      <c r="F81" s="18"/>
      <c r="G81" s="18"/>
    </row>
    <row r="82" customFormat="false" ht="15" hidden="false" customHeight="true" outlineLevel="0" collapsed="false">
      <c r="A82" s="22" t="s">
        <v>495</v>
      </c>
      <c r="B82" s="62"/>
      <c r="C82" s="62"/>
      <c r="D82" s="62"/>
      <c r="E82" s="7" t="s">
        <v>497</v>
      </c>
      <c r="F82" s="7"/>
      <c r="G82" s="7"/>
    </row>
    <row r="83" customFormat="false" ht="15" hidden="false" customHeight="true" outlineLevel="0" collapsed="false">
      <c r="A83" s="63" t="s">
        <v>498</v>
      </c>
      <c r="B83" s="76"/>
      <c r="C83" s="76"/>
      <c r="D83" s="76"/>
      <c r="E83" s="18" t="s">
        <v>499</v>
      </c>
      <c r="F83" s="18"/>
      <c r="G83" s="18"/>
    </row>
    <row r="84" customFormat="false" ht="15" hidden="false" customHeight="true" outlineLevel="0" collapsed="false">
      <c r="A84" s="22" t="s">
        <v>500</v>
      </c>
      <c r="B84" s="62"/>
      <c r="C84" s="62"/>
      <c r="D84" s="62"/>
      <c r="E84" s="7" t="s">
        <v>501</v>
      </c>
      <c r="F84" s="7"/>
      <c r="G84" s="7"/>
    </row>
    <row r="85" customFormat="false" ht="15" hidden="false" customHeight="true" outlineLevel="0" collapsed="false">
      <c r="A85" s="63" t="s">
        <v>502</v>
      </c>
      <c r="B85" s="64"/>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512</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222</v>
      </c>
      <c r="C5" s="62"/>
      <c r="D5" s="62"/>
      <c r="E5" s="7"/>
      <c r="F5" s="7"/>
      <c r="G5" s="7"/>
    </row>
    <row r="6" customFormat="false" ht="15" hidden="false" customHeight="true" outlineLevel="0" collapsed="false">
      <c r="A6" s="63" t="s">
        <v>341</v>
      </c>
      <c r="B6" s="76"/>
      <c r="C6" s="76"/>
      <c r="D6" s="76"/>
      <c r="E6" s="18" t="s">
        <v>343</v>
      </c>
      <c r="F6" s="18"/>
      <c r="G6" s="18"/>
    </row>
    <row r="7" customFormat="false" ht="15" hidden="false" customHeight="true" outlineLevel="0" collapsed="false">
      <c r="A7" s="22" t="s">
        <v>344</v>
      </c>
      <c r="B7" s="76" t="s">
        <v>506</v>
      </c>
      <c r="C7" s="76"/>
      <c r="D7" s="76"/>
      <c r="E7" s="7" t="s">
        <v>345</v>
      </c>
      <c r="F7" s="7"/>
      <c r="G7" s="7"/>
    </row>
    <row r="8" customFormat="false" ht="15" hidden="false" customHeight="true" outlineLevel="0" collapsed="false">
      <c r="A8" s="63" t="s">
        <v>346</v>
      </c>
      <c r="B8" s="76" t="s">
        <v>506</v>
      </c>
      <c r="C8" s="76"/>
      <c r="D8" s="76"/>
      <c r="E8" s="18" t="s">
        <v>345</v>
      </c>
      <c r="F8" s="18"/>
      <c r="G8" s="18"/>
    </row>
    <row r="9" customFormat="false" ht="15" hidden="false" customHeight="true" outlineLevel="0" collapsed="false">
      <c r="A9" s="22" t="s">
        <v>348</v>
      </c>
      <c r="B9" s="76" t="s">
        <v>506</v>
      </c>
      <c r="C9" s="76"/>
      <c r="D9" s="76"/>
      <c r="E9" s="7" t="s">
        <v>345</v>
      </c>
      <c r="F9" s="7"/>
      <c r="G9" s="7"/>
    </row>
    <row r="10" customFormat="false" ht="15" hidden="false" customHeight="false" outlineLevel="0" collapsed="false">
      <c r="A10" s="63" t="s">
        <v>209</v>
      </c>
      <c r="B10" s="65" t="n">
        <v>0</v>
      </c>
      <c r="C10" s="65"/>
      <c r="D10" s="65"/>
      <c r="E10" s="18"/>
      <c r="F10" s="18"/>
      <c r="G10" s="18"/>
    </row>
    <row r="11" customFormat="false" ht="15" hidden="false" customHeight="false" outlineLevel="0" collapsed="false">
      <c r="A11" s="22" t="s">
        <v>351</v>
      </c>
      <c r="B11" s="62" t="n">
        <v>0</v>
      </c>
      <c r="C11" s="62"/>
      <c r="D11" s="62"/>
      <c r="E11" s="7"/>
      <c r="F11" s="7"/>
      <c r="G11" s="7"/>
    </row>
    <row r="12" customFormat="false" ht="15" hidden="false" customHeight="false" outlineLevel="0" collapsed="false">
      <c r="A12" s="63" t="s">
        <v>353</v>
      </c>
      <c r="B12" s="76"/>
      <c r="C12" s="76"/>
      <c r="D12" s="76"/>
      <c r="E12" s="18"/>
      <c r="F12" s="18"/>
      <c r="G12" s="18"/>
    </row>
    <row r="13" customFormat="false" ht="15" hidden="false" customHeight="true" outlineLevel="0" collapsed="false">
      <c r="A13" s="22" t="s">
        <v>355</v>
      </c>
      <c r="B13" s="62" t="s">
        <v>507</v>
      </c>
      <c r="C13" s="62"/>
      <c r="D13" s="62"/>
      <c r="E13" s="7"/>
      <c r="F13" s="7"/>
      <c r="G13" s="7"/>
    </row>
    <row r="14" customFormat="false" ht="15" hidden="false" customHeight="true" outlineLevel="0" collapsed="false">
      <c r="A14" s="63" t="s">
        <v>215</v>
      </c>
      <c r="B14" s="76"/>
      <c r="C14" s="76"/>
      <c r="D14" s="76"/>
      <c r="E14" s="18" t="s">
        <v>357</v>
      </c>
      <c r="F14" s="18"/>
      <c r="G14" s="18"/>
    </row>
    <row r="15" customFormat="false" ht="15" hidden="false" customHeight="true" outlineLevel="0" collapsed="false">
      <c r="A15" s="22" t="s">
        <v>358</v>
      </c>
      <c r="B15" s="76" t="s">
        <v>506</v>
      </c>
      <c r="C15" s="76"/>
      <c r="D15" s="76"/>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30" hidden="false" customHeight="true" outlineLevel="0" collapsed="false">
      <c r="A20" s="7" t="s">
        <v>140</v>
      </c>
      <c r="B20" s="77"/>
      <c r="C20" s="67" t="n">
        <f aca="false">'01 Scoring Model'!$B$6</f>
        <v>0.2</v>
      </c>
      <c r="D20" s="68" t="str">
        <f aca="false">IF(B20="","",B20*C20)</f>
        <v/>
      </c>
      <c r="E20" s="7"/>
      <c r="F20" s="7"/>
      <c r="G20" s="7"/>
    </row>
    <row r="21" customFormat="false" ht="30" hidden="false" customHeight="true" outlineLevel="0" collapsed="false">
      <c r="A21" s="18" t="s">
        <v>142</v>
      </c>
      <c r="B21" s="77"/>
      <c r="C21" s="70" t="n">
        <f aca="false">'01 Scoring Model'!$B$7</f>
        <v>0.2</v>
      </c>
      <c r="D21" s="71" t="str">
        <f aca="false">IF(B21="","",B21*C21)</f>
        <v/>
      </c>
      <c r="E21" s="18"/>
      <c r="F21" s="18"/>
      <c r="G21" s="18"/>
    </row>
    <row r="22" customFormat="false" ht="30" hidden="false" customHeight="true" outlineLevel="0" collapsed="false">
      <c r="A22" s="7" t="s">
        <v>144</v>
      </c>
      <c r="B22" s="77"/>
      <c r="C22" s="67" t="n">
        <f aca="false">'01 Scoring Model'!$B$8</f>
        <v>0.2</v>
      </c>
      <c r="D22" s="68" t="str">
        <f aca="false">IF(B22="","",B22*C22)</f>
        <v/>
      </c>
      <c r="E22" s="7"/>
      <c r="F22" s="7"/>
      <c r="G22" s="7"/>
    </row>
    <row r="23" customFormat="false" ht="30" hidden="false" customHeight="true" outlineLevel="0" collapsed="false">
      <c r="A23" s="18" t="s">
        <v>146</v>
      </c>
      <c r="B23" s="77"/>
      <c r="C23" s="70" t="n">
        <f aca="false">'01 Scoring Model'!$B$9</f>
        <v>0.1</v>
      </c>
      <c r="D23" s="71" t="str">
        <f aca="false">IF(B23="","",B23*C23)</f>
        <v/>
      </c>
      <c r="E23" s="18"/>
      <c r="F23" s="18"/>
      <c r="G23" s="18"/>
    </row>
    <row r="24" customFormat="false" ht="30" hidden="false" customHeight="true" outlineLevel="0" collapsed="false">
      <c r="A24" s="7" t="s">
        <v>148</v>
      </c>
      <c r="B24" s="77"/>
      <c r="C24" s="67" t="n">
        <f aca="false">'01 Scoring Model'!$B$10</f>
        <v>0.1</v>
      </c>
      <c r="D24" s="68" t="str">
        <f aca="false">IF(B24="","",B24*C24)</f>
        <v/>
      </c>
      <c r="E24" s="7"/>
      <c r="F24" s="7"/>
      <c r="G24" s="7"/>
    </row>
    <row r="25" customFormat="false" ht="30" hidden="false" customHeight="true" outlineLevel="0" collapsed="false">
      <c r="A25" s="18" t="s">
        <v>150</v>
      </c>
      <c r="B25" s="77"/>
      <c r="C25" s="70" t="n">
        <f aca="false">'01 Scoring Model'!$B$11</f>
        <v>0.1</v>
      </c>
      <c r="D25" s="71" t="str">
        <f aca="false">IF(B25="","",B25*C25)</f>
        <v/>
      </c>
      <c r="E25" s="18"/>
      <c r="F25" s="18"/>
      <c r="G25" s="18"/>
    </row>
    <row r="26" customFormat="false" ht="30" hidden="false" customHeight="true" outlineLevel="0" collapsed="false">
      <c r="A26" s="7" t="s">
        <v>152</v>
      </c>
      <c r="B26" s="77"/>
      <c r="C26" s="67" t="n">
        <f aca="false">'01 Scoring Model'!$B$12</f>
        <v>0.1</v>
      </c>
      <c r="D26" s="68" t="str">
        <f aca="false">IF(B26="","",B26*C26)</f>
        <v/>
      </c>
      <c r="E26" s="7"/>
      <c r="F26" s="7"/>
      <c r="G26" s="7"/>
    </row>
    <row r="27" customFormat="false" ht="15" hidden="false" customHeight="true" outlineLevel="0" collapsed="false">
      <c r="A27" s="40" t="s">
        <v>384</v>
      </c>
      <c r="B27" s="42"/>
      <c r="C27" s="42"/>
      <c r="D27" s="72" t="str">
        <f aca="false">IF(COUNT(B20:B26)=0,"",ROUND(SUM(D20:D26),2))</f>
        <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3"/>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3"/>
      <c r="E48" s="18"/>
      <c r="F48" s="18"/>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74" t="s">
        <v>459</v>
      </c>
      <c r="C60" s="74"/>
      <c r="D60" s="74"/>
      <c r="E60" s="7"/>
      <c r="F60" s="7"/>
      <c r="G60" s="7"/>
    </row>
    <row r="61" customFormat="false" ht="15" hidden="false" customHeight="false" outlineLevel="0" collapsed="false">
      <c r="A61" s="18" t="s">
        <v>453</v>
      </c>
      <c r="B61" s="74" t="s">
        <v>459</v>
      </c>
      <c r="C61" s="74"/>
      <c r="D61" s="74"/>
      <c r="E61" s="18"/>
      <c r="F61" s="18"/>
      <c r="G61" s="18"/>
    </row>
    <row r="62" customFormat="false" ht="15" hidden="false" customHeight="false" outlineLevel="0" collapsed="false">
      <c r="A62" s="7" t="s">
        <v>455</v>
      </c>
      <c r="B62" s="74" t="s">
        <v>459</v>
      </c>
      <c r="C62" s="74"/>
      <c r="D62" s="74"/>
      <c r="E62" s="7"/>
      <c r="F62" s="7"/>
      <c r="G62" s="7"/>
    </row>
    <row r="63" customFormat="false" ht="23.85" hidden="false" customHeight="false" outlineLevel="0" collapsed="false">
      <c r="A63" s="18" t="s">
        <v>458</v>
      </c>
      <c r="B63" s="74" t="s">
        <v>459</v>
      </c>
      <c r="C63" s="74"/>
      <c r="D63" s="74"/>
      <c r="E63" s="18"/>
      <c r="F63" s="18"/>
      <c r="G63" s="18"/>
    </row>
    <row r="64" customFormat="false" ht="23.85" hidden="false" customHeight="false" outlineLevel="0" collapsed="false">
      <c r="A64" s="7" t="s">
        <v>461</v>
      </c>
      <c r="B64" s="74" t="s">
        <v>459</v>
      </c>
      <c r="C64" s="74"/>
      <c r="D64" s="74"/>
      <c r="E64" s="7"/>
      <c r="F64" s="7"/>
      <c r="G64" s="7"/>
    </row>
    <row r="65" customFormat="false" ht="15" hidden="false" customHeight="false" outlineLevel="0" collapsed="false">
      <c r="A65" s="18" t="s">
        <v>463</v>
      </c>
      <c r="B65" s="74" t="s">
        <v>459</v>
      </c>
      <c r="C65" s="74"/>
      <c r="D65" s="74"/>
      <c r="E65" s="18"/>
      <c r="F65" s="18"/>
      <c r="G65" s="18"/>
    </row>
    <row r="66" customFormat="false" ht="15" hidden="false" customHeight="false" outlineLevel="0" collapsed="false">
      <c r="A66" s="7" t="s">
        <v>465</v>
      </c>
      <c r="B66" s="74" t="s">
        <v>459</v>
      </c>
      <c r="C66" s="74"/>
      <c r="D66" s="74"/>
      <c r="E66" s="7"/>
      <c r="F66" s="7"/>
      <c r="G66" s="7"/>
    </row>
    <row r="67" customFormat="false" ht="15" hidden="false" customHeight="false" outlineLevel="0" collapsed="false">
      <c r="A67" s="18" t="s">
        <v>468</v>
      </c>
      <c r="B67" s="74" t="s">
        <v>459</v>
      </c>
      <c r="C67" s="74"/>
      <c r="D67" s="74"/>
      <c r="E67" s="18"/>
      <c r="F67" s="18"/>
      <c r="G67" s="18"/>
    </row>
    <row r="68" customFormat="false" ht="15" hidden="false" customHeight="false" outlineLevel="0" collapsed="false">
      <c r="A68" s="7" t="s">
        <v>471</v>
      </c>
      <c r="B68" s="74" t="s">
        <v>459</v>
      </c>
      <c r="C68" s="74"/>
      <c r="D68" s="74"/>
      <c r="E68" s="7"/>
      <c r="F68" s="7"/>
      <c r="G68" s="7"/>
    </row>
    <row r="69" customFormat="false" ht="23.85" hidden="false" customHeight="false" outlineLevel="0" collapsed="false">
      <c r="A69" s="18" t="s">
        <v>474</v>
      </c>
      <c r="B69" s="74" t="s">
        <v>459</v>
      </c>
      <c r="C69" s="74"/>
      <c r="D69" s="74"/>
      <c r="E69" s="18"/>
      <c r="F69" s="18"/>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false" outlineLevel="0" collapsed="false">
      <c r="A73" s="7" t="s">
        <v>478</v>
      </c>
      <c r="B73" s="7"/>
      <c r="C73" s="7"/>
      <c r="D73" s="7"/>
      <c r="E73" s="7"/>
      <c r="F73" s="7"/>
      <c r="G73" s="7"/>
    </row>
    <row r="74" customFormat="false" ht="15" hidden="false" customHeight="false" outlineLevel="0" collapsed="false">
      <c r="A74" s="18" t="s">
        <v>480</v>
      </c>
      <c r="B74" s="18"/>
      <c r="C74" s="18"/>
      <c r="D74" s="18"/>
      <c r="E74" s="18"/>
      <c r="F74" s="18"/>
      <c r="G74" s="18"/>
    </row>
    <row r="75" customFormat="false" ht="15" hidden="false" customHeight="false" outlineLevel="0" collapsed="false">
      <c r="A75" s="7" t="s">
        <v>482</v>
      </c>
      <c r="B75" s="7"/>
      <c r="C75" s="7"/>
      <c r="D75" s="7"/>
      <c r="E75" s="7"/>
      <c r="F75" s="7"/>
      <c r="G75" s="7"/>
    </row>
    <row r="76" customFormat="false" ht="15" hidden="false" customHeight="false" outlineLevel="0" collapsed="false">
      <c r="A76" s="18" t="s">
        <v>484</v>
      </c>
      <c r="B76" s="18"/>
      <c r="C76" s="18"/>
      <c r="D76" s="18"/>
      <c r="E76" s="18"/>
      <c r="F76" s="18"/>
      <c r="G76" s="18"/>
    </row>
    <row r="77" customFormat="false" ht="15" hidden="false" customHeight="false" outlineLevel="0" collapsed="false">
      <c r="A77" s="7" t="s">
        <v>486</v>
      </c>
      <c r="B77" s="7"/>
      <c r="C77" s="7"/>
      <c r="D77" s="7"/>
      <c r="E77" s="7"/>
      <c r="F77" s="7"/>
      <c r="G77" s="7"/>
    </row>
    <row r="79" customFormat="false" ht="18" hidden="false" customHeight="true" outlineLevel="0" collapsed="false">
      <c r="A79" s="3" t="s">
        <v>488</v>
      </c>
      <c r="B79" s="4"/>
      <c r="C79" s="4"/>
      <c r="D79" s="4"/>
      <c r="E79" s="4"/>
      <c r="F79" s="4"/>
      <c r="G79" s="4"/>
    </row>
    <row r="80" customFormat="false" ht="15" hidden="false" customHeight="true" outlineLevel="0" collapsed="false">
      <c r="A80" s="22" t="s">
        <v>489</v>
      </c>
      <c r="B80" s="76"/>
      <c r="C80" s="76"/>
      <c r="D80" s="76"/>
      <c r="E80" s="7" t="s">
        <v>491</v>
      </c>
      <c r="F80" s="7"/>
      <c r="G80" s="7"/>
    </row>
    <row r="81" customFormat="false" ht="15" hidden="false" customHeight="true" outlineLevel="0" collapsed="false">
      <c r="A81" s="63" t="s">
        <v>492</v>
      </c>
      <c r="B81" s="64"/>
      <c r="C81" s="64"/>
      <c r="D81" s="64"/>
      <c r="E81" s="18" t="s">
        <v>494</v>
      </c>
      <c r="F81" s="18"/>
      <c r="G81" s="18"/>
    </row>
    <row r="82" customFormat="false" ht="15" hidden="false" customHeight="true" outlineLevel="0" collapsed="false">
      <c r="A82" s="22" t="s">
        <v>495</v>
      </c>
      <c r="B82" s="62"/>
      <c r="C82" s="62"/>
      <c r="D82" s="62"/>
      <c r="E82" s="7" t="s">
        <v>497</v>
      </c>
      <c r="F82" s="7"/>
      <c r="G82" s="7"/>
    </row>
    <row r="83" customFormat="false" ht="15" hidden="false" customHeight="true" outlineLevel="0" collapsed="false">
      <c r="A83" s="63" t="s">
        <v>498</v>
      </c>
      <c r="B83" s="76"/>
      <c r="C83" s="76"/>
      <c r="D83" s="76"/>
      <c r="E83" s="18" t="s">
        <v>499</v>
      </c>
      <c r="F83" s="18"/>
      <c r="G83" s="18"/>
    </row>
    <row r="84" customFormat="false" ht="15" hidden="false" customHeight="true" outlineLevel="0" collapsed="false">
      <c r="A84" s="22" t="s">
        <v>500</v>
      </c>
      <c r="B84" s="62"/>
      <c r="C84" s="62"/>
      <c r="D84" s="62"/>
      <c r="E84" s="7" t="s">
        <v>501</v>
      </c>
      <c r="F84" s="7"/>
      <c r="G84" s="7"/>
    </row>
    <row r="85" customFormat="false" ht="15" hidden="false" customHeight="true" outlineLevel="0" collapsed="false">
      <c r="A85" s="63" t="s">
        <v>502</v>
      </c>
      <c r="B85" s="64"/>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22"/>
    <col collapsed="false" customWidth="true" hidden="false" outlineLevel="0" max="7" min="7" style="0" width="46"/>
  </cols>
  <sheetData>
    <row r="1" customFormat="false" ht="21.75" hidden="false" customHeight="true" outlineLevel="0" collapsed="false">
      <c r="A1" s="1" t="s">
        <v>513</v>
      </c>
      <c r="B1" s="1"/>
      <c r="C1" s="1"/>
      <c r="D1" s="1"/>
      <c r="E1" s="1"/>
      <c r="F1" s="1"/>
      <c r="G1" s="1"/>
    </row>
    <row r="2" customFormat="false" ht="15" hidden="false" customHeight="false" outlineLevel="0" collapsed="false">
      <c r="A2" s="2" t="s">
        <v>338</v>
      </c>
      <c r="B2" s="2"/>
      <c r="C2" s="2"/>
      <c r="D2" s="2"/>
      <c r="E2" s="2"/>
      <c r="F2" s="2"/>
      <c r="G2" s="2"/>
    </row>
    <row r="4" customFormat="false" ht="18" hidden="false" customHeight="true" outlineLevel="0" collapsed="false">
      <c r="A4" s="3" t="s">
        <v>339</v>
      </c>
      <c r="B4" s="4"/>
      <c r="C4" s="4"/>
      <c r="D4" s="4"/>
      <c r="E4" s="4"/>
      <c r="F4" s="4"/>
      <c r="G4" s="4"/>
    </row>
    <row r="5" customFormat="false" ht="15" hidden="false" customHeight="true" outlineLevel="0" collapsed="false">
      <c r="A5" s="22" t="s">
        <v>340</v>
      </c>
      <c r="B5" s="62" t="s">
        <v>223</v>
      </c>
      <c r="C5" s="62"/>
      <c r="D5" s="62"/>
      <c r="E5" s="7"/>
      <c r="F5" s="7"/>
      <c r="G5" s="7"/>
    </row>
    <row r="6" customFormat="false" ht="15" hidden="false" customHeight="true" outlineLevel="0" collapsed="false">
      <c r="A6" s="63" t="s">
        <v>341</v>
      </c>
      <c r="B6" s="76"/>
      <c r="C6" s="76"/>
      <c r="D6" s="76"/>
      <c r="E6" s="18" t="s">
        <v>343</v>
      </c>
      <c r="F6" s="18"/>
      <c r="G6" s="18"/>
    </row>
    <row r="7" customFormat="false" ht="15" hidden="false" customHeight="true" outlineLevel="0" collapsed="false">
      <c r="A7" s="22" t="s">
        <v>344</v>
      </c>
      <c r="B7" s="76" t="s">
        <v>506</v>
      </c>
      <c r="C7" s="76"/>
      <c r="D7" s="76"/>
      <c r="E7" s="7" t="s">
        <v>345</v>
      </c>
      <c r="F7" s="7"/>
      <c r="G7" s="7"/>
    </row>
    <row r="8" customFormat="false" ht="15" hidden="false" customHeight="true" outlineLevel="0" collapsed="false">
      <c r="A8" s="63" t="s">
        <v>346</v>
      </c>
      <c r="B8" s="76" t="s">
        <v>506</v>
      </c>
      <c r="C8" s="76"/>
      <c r="D8" s="76"/>
      <c r="E8" s="18" t="s">
        <v>345</v>
      </c>
      <c r="F8" s="18"/>
      <c r="G8" s="18"/>
    </row>
    <row r="9" customFormat="false" ht="15" hidden="false" customHeight="true" outlineLevel="0" collapsed="false">
      <c r="A9" s="22" t="s">
        <v>348</v>
      </c>
      <c r="B9" s="76" t="s">
        <v>506</v>
      </c>
      <c r="C9" s="76"/>
      <c r="D9" s="76"/>
      <c r="E9" s="7" t="s">
        <v>345</v>
      </c>
      <c r="F9" s="7"/>
      <c r="G9" s="7"/>
    </row>
    <row r="10" customFormat="false" ht="15" hidden="false" customHeight="false" outlineLevel="0" collapsed="false">
      <c r="A10" s="63" t="s">
        <v>209</v>
      </c>
      <c r="B10" s="65" t="n">
        <v>0</v>
      </c>
      <c r="C10" s="65"/>
      <c r="D10" s="65"/>
      <c r="E10" s="18"/>
      <c r="F10" s="18"/>
      <c r="G10" s="18"/>
    </row>
    <row r="11" customFormat="false" ht="15" hidden="false" customHeight="false" outlineLevel="0" collapsed="false">
      <c r="A11" s="22" t="s">
        <v>351</v>
      </c>
      <c r="B11" s="62" t="n">
        <v>0</v>
      </c>
      <c r="C11" s="62"/>
      <c r="D11" s="62"/>
      <c r="E11" s="7"/>
      <c r="F11" s="7"/>
      <c r="G11" s="7"/>
    </row>
    <row r="12" customFormat="false" ht="15" hidden="false" customHeight="false" outlineLevel="0" collapsed="false">
      <c r="A12" s="63" t="s">
        <v>353</v>
      </c>
      <c r="B12" s="76"/>
      <c r="C12" s="76"/>
      <c r="D12" s="76"/>
      <c r="E12" s="18"/>
      <c r="F12" s="18"/>
      <c r="G12" s="18"/>
    </row>
    <row r="13" customFormat="false" ht="15" hidden="false" customHeight="true" outlineLevel="0" collapsed="false">
      <c r="A13" s="22" t="s">
        <v>355</v>
      </c>
      <c r="B13" s="62" t="s">
        <v>507</v>
      </c>
      <c r="C13" s="62"/>
      <c r="D13" s="62"/>
      <c r="E13" s="7"/>
      <c r="F13" s="7"/>
      <c r="G13" s="7"/>
    </row>
    <row r="14" customFormat="false" ht="15" hidden="false" customHeight="true" outlineLevel="0" collapsed="false">
      <c r="A14" s="63" t="s">
        <v>215</v>
      </c>
      <c r="B14" s="76"/>
      <c r="C14" s="76"/>
      <c r="D14" s="76"/>
      <c r="E14" s="18" t="s">
        <v>357</v>
      </c>
      <c r="F14" s="18"/>
      <c r="G14" s="18"/>
    </row>
    <row r="15" customFormat="false" ht="15" hidden="false" customHeight="true" outlineLevel="0" collapsed="false">
      <c r="A15" s="22" t="s">
        <v>358</v>
      </c>
      <c r="B15" s="76" t="s">
        <v>506</v>
      </c>
      <c r="C15" s="76"/>
      <c r="D15" s="76"/>
      <c r="E15" s="7" t="s">
        <v>360</v>
      </c>
      <c r="F15" s="7"/>
      <c r="G15" s="7"/>
    </row>
    <row r="17" customFormat="false" ht="18" hidden="false" customHeight="true" outlineLevel="0" collapsed="false">
      <c r="A17" s="3" t="s">
        <v>361</v>
      </c>
      <c r="B17" s="4"/>
      <c r="C17" s="4"/>
      <c r="D17" s="4"/>
      <c r="E17" s="4"/>
      <c r="F17" s="4"/>
      <c r="G17" s="4"/>
    </row>
    <row r="18" customFormat="false" ht="15" hidden="false" customHeight="false" outlineLevel="0" collapsed="false">
      <c r="A18" s="2" t="s">
        <v>362</v>
      </c>
      <c r="B18" s="2"/>
      <c r="C18" s="2"/>
      <c r="D18" s="2"/>
      <c r="E18" s="2"/>
      <c r="F18" s="2"/>
      <c r="G18" s="2"/>
    </row>
    <row r="19" customFormat="false" ht="30" hidden="false" customHeight="true" outlineLevel="0" collapsed="false">
      <c r="A19" s="6" t="s">
        <v>137</v>
      </c>
      <c r="B19" s="6" t="s">
        <v>363</v>
      </c>
      <c r="C19" s="6" t="s">
        <v>138</v>
      </c>
      <c r="D19" s="6" t="s">
        <v>364</v>
      </c>
      <c r="E19" s="6" t="s">
        <v>365</v>
      </c>
      <c r="F19" s="6" t="s">
        <v>254</v>
      </c>
      <c r="G19" s="6" t="s">
        <v>366</v>
      </c>
    </row>
    <row r="20" customFormat="false" ht="30" hidden="false" customHeight="true" outlineLevel="0" collapsed="false">
      <c r="A20" s="7" t="s">
        <v>140</v>
      </c>
      <c r="B20" s="77"/>
      <c r="C20" s="67" t="n">
        <f aca="false">'01 Scoring Model'!$B$6</f>
        <v>0.2</v>
      </c>
      <c r="D20" s="68" t="str">
        <f aca="false">IF(B20="","",B20*C20)</f>
        <v/>
      </c>
      <c r="E20" s="7"/>
      <c r="F20" s="7"/>
      <c r="G20" s="7"/>
    </row>
    <row r="21" customFormat="false" ht="30" hidden="false" customHeight="true" outlineLevel="0" collapsed="false">
      <c r="A21" s="18" t="s">
        <v>142</v>
      </c>
      <c r="B21" s="77"/>
      <c r="C21" s="70" t="n">
        <f aca="false">'01 Scoring Model'!$B$7</f>
        <v>0.2</v>
      </c>
      <c r="D21" s="71" t="str">
        <f aca="false">IF(B21="","",B21*C21)</f>
        <v/>
      </c>
      <c r="E21" s="18"/>
      <c r="F21" s="18"/>
      <c r="G21" s="18"/>
    </row>
    <row r="22" customFormat="false" ht="30" hidden="false" customHeight="true" outlineLevel="0" collapsed="false">
      <c r="A22" s="7" t="s">
        <v>144</v>
      </c>
      <c r="B22" s="77"/>
      <c r="C22" s="67" t="n">
        <f aca="false">'01 Scoring Model'!$B$8</f>
        <v>0.2</v>
      </c>
      <c r="D22" s="68" t="str">
        <f aca="false">IF(B22="","",B22*C22)</f>
        <v/>
      </c>
      <c r="E22" s="7"/>
      <c r="F22" s="7"/>
      <c r="G22" s="7"/>
    </row>
    <row r="23" customFormat="false" ht="30" hidden="false" customHeight="true" outlineLevel="0" collapsed="false">
      <c r="A23" s="18" t="s">
        <v>146</v>
      </c>
      <c r="B23" s="77"/>
      <c r="C23" s="70" t="n">
        <f aca="false">'01 Scoring Model'!$B$9</f>
        <v>0.1</v>
      </c>
      <c r="D23" s="71" t="str">
        <f aca="false">IF(B23="","",B23*C23)</f>
        <v/>
      </c>
      <c r="E23" s="18"/>
      <c r="F23" s="18"/>
      <c r="G23" s="18"/>
    </row>
    <row r="24" customFormat="false" ht="30" hidden="false" customHeight="true" outlineLevel="0" collapsed="false">
      <c r="A24" s="7" t="s">
        <v>148</v>
      </c>
      <c r="B24" s="77"/>
      <c r="C24" s="67" t="n">
        <f aca="false">'01 Scoring Model'!$B$10</f>
        <v>0.1</v>
      </c>
      <c r="D24" s="68" t="str">
        <f aca="false">IF(B24="","",B24*C24)</f>
        <v/>
      </c>
      <c r="E24" s="7"/>
      <c r="F24" s="7"/>
      <c r="G24" s="7"/>
    </row>
    <row r="25" customFormat="false" ht="30" hidden="false" customHeight="true" outlineLevel="0" collapsed="false">
      <c r="A25" s="18" t="s">
        <v>150</v>
      </c>
      <c r="B25" s="77"/>
      <c r="C25" s="70" t="n">
        <f aca="false">'01 Scoring Model'!$B$11</f>
        <v>0.1</v>
      </c>
      <c r="D25" s="71" t="str">
        <f aca="false">IF(B25="","",B25*C25)</f>
        <v/>
      </c>
      <c r="E25" s="18"/>
      <c r="F25" s="18"/>
      <c r="G25" s="18"/>
    </row>
    <row r="26" customFormat="false" ht="30" hidden="false" customHeight="true" outlineLevel="0" collapsed="false">
      <c r="A26" s="7" t="s">
        <v>152</v>
      </c>
      <c r="B26" s="77"/>
      <c r="C26" s="67" t="n">
        <f aca="false">'01 Scoring Model'!$B$12</f>
        <v>0.1</v>
      </c>
      <c r="D26" s="68" t="str">
        <f aca="false">IF(B26="","",B26*C26)</f>
        <v/>
      </c>
      <c r="E26" s="7"/>
      <c r="F26" s="7"/>
      <c r="G26" s="7"/>
    </row>
    <row r="27" customFormat="false" ht="15" hidden="false" customHeight="true" outlineLevel="0" collapsed="false">
      <c r="A27" s="40" t="s">
        <v>384</v>
      </c>
      <c r="B27" s="42"/>
      <c r="C27" s="42"/>
      <c r="D27" s="72" t="str">
        <f aca="false">IF(COUNT(B20:B26)=0,"",ROUND(SUM(D20:D26),2))</f>
        <v/>
      </c>
      <c r="E27" s="40" t="s">
        <v>385</v>
      </c>
      <c r="F27" s="40"/>
      <c r="G27" s="40"/>
    </row>
    <row r="29" customFormat="false" ht="18" hidden="false" customHeight="true" outlineLevel="0" collapsed="false">
      <c r="A29" s="3" t="s">
        <v>386</v>
      </c>
      <c r="B29" s="4"/>
      <c r="C29" s="4"/>
      <c r="D29" s="4"/>
      <c r="E29" s="4"/>
      <c r="F29" s="4"/>
      <c r="G29" s="4"/>
    </row>
    <row r="30" customFormat="false" ht="30" hidden="false" customHeight="true" outlineLevel="0" collapsed="false">
      <c r="A30" s="6" t="s">
        <v>387</v>
      </c>
      <c r="B30" s="6"/>
      <c r="C30" s="6"/>
      <c r="D30" s="6"/>
      <c r="E30" s="6" t="s">
        <v>388</v>
      </c>
      <c r="F30" s="6"/>
      <c r="G30" s="6"/>
    </row>
    <row r="31" customFormat="false" ht="15" hidden="false" customHeight="false" outlineLevel="0" collapsed="false">
      <c r="A31" s="7"/>
      <c r="B31" s="7"/>
      <c r="C31" s="7"/>
      <c r="D31" s="7"/>
      <c r="E31" s="7"/>
      <c r="F31" s="7"/>
      <c r="G31" s="7"/>
    </row>
    <row r="32" customFormat="false" ht="15" hidden="false" customHeight="false" outlineLevel="0" collapsed="false">
      <c r="A32" s="18"/>
      <c r="B32" s="18"/>
      <c r="C32" s="18"/>
      <c r="D32" s="18"/>
      <c r="E32" s="18"/>
      <c r="F32" s="18"/>
      <c r="G32" s="18"/>
    </row>
    <row r="33" customFormat="false" ht="15" hidden="false" customHeight="false" outlineLevel="0" collapsed="false">
      <c r="A33" s="7"/>
      <c r="B33" s="7"/>
      <c r="C33" s="7"/>
      <c r="D33" s="7"/>
      <c r="E33" s="7"/>
      <c r="F33" s="7"/>
      <c r="G33" s="7"/>
    </row>
    <row r="34" customFormat="false" ht="15" hidden="false" customHeight="false" outlineLevel="0" collapsed="false">
      <c r="A34" s="18"/>
      <c r="B34" s="18"/>
      <c r="C34" s="18"/>
      <c r="D34" s="18"/>
      <c r="E34" s="18"/>
      <c r="F34" s="18"/>
      <c r="G34" s="18"/>
    </row>
    <row r="36" customFormat="false" ht="18" hidden="false" customHeight="true" outlineLevel="0" collapsed="false">
      <c r="A36" s="3" t="s">
        <v>397</v>
      </c>
      <c r="B36" s="4"/>
      <c r="C36" s="4"/>
      <c r="D36" s="4"/>
      <c r="E36" s="4"/>
      <c r="F36" s="4"/>
      <c r="G36" s="4"/>
    </row>
    <row r="37" customFormat="false" ht="30" hidden="false" customHeight="true" outlineLevel="0" collapsed="false">
      <c r="A37" s="6" t="s">
        <v>251</v>
      </c>
      <c r="B37" s="6" t="s">
        <v>398</v>
      </c>
      <c r="C37" s="6"/>
      <c r="D37" s="6"/>
      <c r="E37" s="6" t="s">
        <v>399</v>
      </c>
      <c r="F37" s="6" t="s">
        <v>254</v>
      </c>
      <c r="G37" s="6" t="s">
        <v>400</v>
      </c>
    </row>
    <row r="38" customFormat="false" ht="15" hidden="false" customHeight="false" outlineLevel="0" collapsed="false">
      <c r="A38" s="7"/>
      <c r="B38" s="7"/>
      <c r="C38" s="7"/>
      <c r="D38" s="7"/>
      <c r="E38" s="7"/>
      <c r="F38" s="7"/>
      <c r="G38" s="7"/>
    </row>
    <row r="39" customFormat="false" ht="15" hidden="false" customHeight="false" outlineLevel="0" collapsed="false">
      <c r="A39" s="18"/>
      <c r="B39" s="18"/>
      <c r="C39" s="18"/>
      <c r="D39" s="18"/>
      <c r="E39" s="18"/>
      <c r="F39" s="18"/>
      <c r="G39" s="18"/>
    </row>
    <row r="40" customFormat="false" ht="15" hidden="false" customHeight="false" outlineLevel="0" collapsed="false">
      <c r="A40" s="7"/>
      <c r="B40" s="7"/>
      <c r="C40" s="7"/>
      <c r="D40" s="7"/>
      <c r="E40" s="7"/>
      <c r="F40" s="7"/>
      <c r="G40" s="7"/>
    </row>
    <row r="41" customFormat="false" ht="15" hidden="false" customHeight="false" outlineLevel="0" collapsed="false">
      <c r="A41" s="18"/>
      <c r="B41" s="18"/>
      <c r="C41" s="18"/>
      <c r="D41" s="18"/>
      <c r="E41" s="18"/>
      <c r="F41" s="18"/>
      <c r="G41" s="18"/>
    </row>
    <row r="43" customFormat="false" ht="18" hidden="false" customHeight="true" outlineLevel="0" collapsed="false">
      <c r="A43" s="3" t="s">
        <v>413</v>
      </c>
      <c r="B43" s="4"/>
      <c r="C43" s="4"/>
      <c r="D43" s="4"/>
      <c r="E43" s="4"/>
      <c r="F43" s="4"/>
      <c r="G43" s="4"/>
    </row>
    <row r="44" customFormat="false" ht="30" hidden="false" customHeight="true" outlineLevel="0" collapsed="false">
      <c r="A44" s="6" t="s">
        <v>267</v>
      </c>
      <c r="B44" s="6" t="s">
        <v>268</v>
      </c>
      <c r="C44" s="6" t="s">
        <v>269</v>
      </c>
      <c r="D44" s="6" t="s">
        <v>270</v>
      </c>
      <c r="E44" s="6" t="s">
        <v>271</v>
      </c>
      <c r="F44" s="6" t="s">
        <v>254</v>
      </c>
      <c r="G44" s="6" t="s">
        <v>414</v>
      </c>
    </row>
    <row r="45" customFormat="false" ht="15" hidden="false" customHeight="false" outlineLevel="0" collapsed="false">
      <c r="A45" s="7"/>
      <c r="B45" s="47"/>
      <c r="C45" s="47"/>
      <c r="D45" s="51"/>
      <c r="E45" s="7"/>
      <c r="F45" s="7"/>
      <c r="G45" s="7"/>
    </row>
    <row r="46" customFormat="false" ht="15" hidden="false" customHeight="false" outlineLevel="0" collapsed="false">
      <c r="A46" s="18"/>
      <c r="B46" s="50"/>
      <c r="C46" s="50"/>
      <c r="D46" s="73"/>
      <c r="E46" s="18"/>
      <c r="F46" s="18"/>
      <c r="G46" s="18"/>
    </row>
    <row r="47" customFormat="false" ht="15" hidden="false" customHeight="false" outlineLevel="0" collapsed="false">
      <c r="A47" s="7"/>
      <c r="B47" s="47"/>
      <c r="C47" s="47"/>
      <c r="D47" s="51"/>
      <c r="E47" s="7"/>
      <c r="F47" s="7"/>
      <c r="G47" s="7"/>
    </row>
    <row r="48" customFormat="false" ht="15" hidden="false" customHeight="false" outlineLevel="0" collapsed="false">
      <c r="A48" s="18"/>
      <c r="B48" s="50"/>
      <c r="C48" s="50"/>
      <c r="D48" s="73"/>
      <c r="E48" s="18"/>
      <c r="F48" s="18"/>
      <c r="G48" s="18"/>
    </row>
    <row r="49" customFormat="false" ht="15" hidden="false" customHeight="false" outlineLevel="0" collapsed="false">
      <c r="A49" s="2" t="s">
        <v>417</v>
      </c>
      <c r="B49" s="2"/>
      <c r="C49" s="2"/>
      <c r="D49" s="2"/>
      <c r="E49" s="2"/>
      <c r="F49" s="2"/>
      <c r="G49" s="2"/>
    </row>
    <row r="51" customFormat="false" ht="18" hidden="false" customHeight="true" outlineLevel="0" collapsed="false">
      <c r="A51" s="3" t="s">
        <v>418</v>
      </c>
      <c r="B51" s="4"/>
      <c r="C51" s="4"/>
      <c r="D51" s="4"/>
      <c r="E51" s="4"/>
      <c r="F51" s="4"/>
      <c r="G51" s="4"/>
    </row>
    <row r="52" customFormat="false" ht="30" hidden="false" customHeight="true" outlineLevel="0" collapsed="false">
      <c r="A52" s="6" t="s">
        <v>419</v>
      </c>
      <c r="B52" s="6" t="s">
        <v>420</v>
      </c>
      <c r="C52" s="6"/>
      <c r="D52" s="6" t="s">
        <v>421</v>
      </c>
      <c r="E52" s="6" t="s">
        <v>422</v>
      </c>
      <c r="F52" s="6" t="s">
        <v>423</v>
      </c>
      <c r="G52" s="6"/>
    </row>
    <row r="53" customFormat="false" ht="15" hidden="false" customHeight="false" outlineLevel="0" collapsed="false">
      <c r="A53" s="7"/>
      <c r="B53" s="19"/>
      <c r="C53" s="19"/>
      <c r="D53" s="7"/>
      <c r="E53" s="7"/>
      <c r="F53" s="7"/>
      <c r="G53" s="7"/>
    </row>
    <row r="54" customFormat="false" ht="15" hidden="false" customHeight="false" outlineLevel="0" collapsed="false">
      <c r="A54" s="18"/>
      <c r="B54" s="19"/>
      <c r="C54" s="19"/>
      <c r="D54" s="18"/>
      <c r="E54" s="18"/>
      <c r="F54" s="18"/>
      <c r="G54" s="18"/>
    </row>
    <row r="55" customFormat="false" ht="15" hidden="false" customHeight="false" outlineLevel="0" collapsed="false">
      <c r="A55" s="7"/>
      <c r="B55" s="19"/>
      <c r="C55" s="19"/>
      <c r="D55" s="7"/>
      <c r="E55" s="7"/>
      <c r="F55" s="7"/>
      <c r="G55" s="7"/>
    </row>
    <row r="56" customFormat="false" ht="15" hidden="false" customHeight="false" outlineLevel="0" collapsed="false">
      <c r="A56" s="18"/>
      <c r="B56" s="19"/>
      <c r="C56" s="19"/>
      <c r="D56" s="18"/>
      <c r="E56" s="18"/>
      <c r="F56" s="18"/>
      <c r="G56" s="18"/>
    </row>
    <row r="58" customFormat="false" ht="18" hidden="false" customHeight="true" outlineLevel="0" collapsed="false">
      <c r="A58" s="3" t="s">
        <v>444</v>
      </c>
      <c r="B58" s="4"/>
      <c r="C58" s="4"/>
      <c r="D58" s="4"/>
      <c r="E58" s="4"/>
      <c r="F58" s="4"/>
      <c r="G58" s="4"/>
    </row>
    <row r="59" customFormat="false" ht="30" hidden="false" customHeight="true" outlineLevel="0" collapsed="false">
      <c r="A59" s="6" t="s">
        <v>445</v>
      </c>
      <c r="B59" s="6" t="s">
        <v>115</v>
      </c>
      <c r="C59" s="6"/>
      <c r="D59" s="6"/>
      <c r="E59" s="6" t="s">
        <v>446</v>
      </c>
      <c r="F59" s="6" t="s">
        <v>447</v>
      </c>
      <c r="G59" s="6" t="s">
        <v>448</v>
      </c>
    </row>
    <row r="60" customFormat="false" ht="15" hidden="false" customHeight="false" outlineLevel="0" collapsed="false">
      <c r="A60" s="7" t="s">
        <v>449</v>
      </c>
      <c r="B60" s="74" t="s">
        <v>459</v>
      </c>
      <c r="C60" s="74"/>
      <c r="D60" s="74"/>
      <c r="E60" s="7"/>
      <c r="F60" s="7"/>
      <c r="G60" s="7"/>
    </row>
    <row r="61" customFormat="false" ht="15" hidden="false" customHeight="false" outlineLevel="0" collapsed="false">
      <c r="A61" s="18" t="s">
        <v>453</v>
      </c>
      <c r="B61" s="74" t="s">
        <v>459</v>
      </c>
      <c r="C61" s="74"/>
      <c r="D61" s="74"/>
      <c r="E61" s="18"/>
      <c r="F61" s="18"/>
      <c r="G61" s="18"/>
    </row>
    <row r="62" customFormat="false" ht="15" hidden="false" customHeight="false" outlineLevel="0" collapsed="false">
      <c r="A62" s="7" t="s">
        <v>455</v>
      </c>
      <c r="B62" s="74" t="s">
        <v>459</v>
      </c>
      <c r="C62" s="74"/>
      <c r="D62" s="74"/>
      <c r="E62" s="7"/>
      <c r="F62" s="7"/>
      <c r="G62" s="7"/>
    </row>
    <row r="63" customFormat="false" ht="23.85" hidden="false" customHeight="false" outlineLevel="0" collapsed="false">
      <c r="A63" s="18" t="s">
        <v>458</v>
      </c>
      <c r="B63" s="74" t="s">
        <v>459</v>
      </c>
      <c r="C63" s="74"/>
      <c r="D63" s="74"/>
      <c r="E63" s="18"/>
      <c r="F63" s="18"/>
      <c r="G63" s="18"/>
    </row>
    <row r="64" customFormat="false" ht="23.85" hidden="false" customHeight="false" outlineLevel="0" collapsed="false">
      <c r="A64" s="7" t="s">
        <v>461</v>
      </c>
      <c r="B64" s="74" t="s">
        <v>459</v>
      </c>
      <c r="C64" s="74"/>
      <c r="D64" s="74"/>
      <c r="E64" s="7"/>
      <c r="F64" s="7"/>
      <c r="G64" s="7"/>
    </row>
    <row r="65" customFormat="false" ht="15" hidden="false" customHeight="false" outlineLevel="0" collapsed="false">
      <c r="A65" s="18" t="s">
        <v>463</v>
      </c>
      <c r="B65" s="74" t="s">
        <v>459</v>
      </c>
      <c r="C65" s="74"/>
      <c r="D65" s="74"/>
      <c r="E65" s="18"/>
      <c r="F65" s="18"/>
      <c r="G65" s="18"/>
    </row>
    <row r="66" customFormat="false" ht="15" hidden="false" customHeight="false" outlineLevel="0" collapsed="false">
      <c r="A66" s="7" t="s">
        <v>465</v>
      </c>
      <c r="B66" s="74" t="s">
        <v>459</v>
      </c>
      <c r="C66" s="74"/>
      <c r="D66" s="74"/>
      <c r="E66" s="7"/>
      <c r="F66" s="7"/>
      <c r="G66" s="7"/>
    </row>
    <row r="67" customFormat="false" ht="15" hidden="false" customHeight="false" outlineLevel="0" collapsed="false">
      <c r="A67" s="18" t="s">
        <v>468</v>
      </c>
      <c r="B67" s="74" t="s">
        <v>459</v>
      </c>
      <c r="C67" s="74"/>
      <c r="D67" s="74"/>
      <c r="E67" s="18"/>
      <c r="F67" s="18"/>
      <c r="G67" s="18"/>
    </row>
    <row r="68" customFormat="false" ht="15" hidden="false" customHeight="false" outlineLevel="0" collapsed="false">
      <c r="A68" s="7" t="s">
        <v>471</v>
      </c>
      <c r="B68" s="74" t="s">
        <v>459</v>
      </c>
      <c r="C68" s="74"/>
      <c r="D68" s="74"/>
      <c r="E68" s="7"/>
      <c r="F68" s="7"/>
      <c r="G68" s="7"/>
    </row>
    <row r="69" customFormat="false" ht="23.85" hidden="false" customHeight="false" outlineLevel="0" collapsed="false">
      <c r="A69" s="18" t="s">
        <v>474</v>
      </c>
      <c r="B69" s="74" t="s">
        <v>459</v>
      </c>
      <c r="C69" s="74"/>
      <c r="D69" s="74"/>
      <c r="E69" s="18"/>
      <c r="F69" s="18"/>
      <c r="G69" s="18"/>
    </row>
    <row r="70" customFormat="false" ht="15" hidden="false" customHeight="false" outlineLevel="0" collapsed="false">
      <c r="A70" s="2" t="s">
        <v>476</v>
      </c>
      <c r="B70" s="2"/>
      <c r="C70" s="2"/>
      <c r="D70" s="2"/>
      <c r="E70" s="2"/>
      <c r="F70" s="2"/>
      <c r="G70" s="2"/>
    </row>
    <row r="72" customFormat="false" ht="18" hidden="false" customHeight="true" outlineLevel="0" collapsed="false">
      <c r="A72" s="3" t="s">
        <v>477</v>
      </c>
      <c r="B72" s="4"/>
      <c r="C72" s="4"/>
      <c r="D72" s="4"/>
      <c r="E72" s="4"/>
      <c r="F72" s="4"/>
      <c r="G72" s="4"/>
    </row>
    <row r="73" customFormat="false" ht="15" hidden="false" customHeight="false" outlineLevel="0" collapsed="false">
      <c r="A73" s="7" t="s">
        <v>478</v>
      </c>
      <c r="B73" s="7"/>
      <c r="C73" s="7"/>
      <c r="D73" s="7"/>
      <c r="E73" s="7"/>
      <c r="F73" s="7"/>
      <c r="G73" s="7"/>
    </row>
    <row r="74" customFormat="false" ht="15" hidden="false" customHeight="false" outlineLevel="0" collapsed="false">
      <c r="A74" s="18" t="s">
        <v>480</v>
      </c>
      <c r="B74" s="18"/>
      <c r="C74" s="18"/>
      <c r="D74" s="18"/>
      <c r="E74" s="18"/>
      <c r="F74" s="18"/>
      <c r="G74" s="18"/>
    </row>
    <row r="75" customFormat="false" ht="15" hidden="false" customHeight="false" outlineLevel="0" collapsed="false">
      <c r="A75" s="7" t="s">
        <v>482</v>
      </c>
      <c r="B75" s="7"/>
      <c r="C75" s="7"/>
      <c r="D75" s="7"/>
      <c r="E75" s="7"/>
      <c r="F75" s="7"/>
      <c r="G75" s="7"/>
    </row>
    <row r="76" customFormat="false" ht="15" hidden="false" customHeight="false" outlineLevel="0" collapsed="false">
      <c r="A76" s="18" t="s">
        <v>484</v>
      </c>
      <c r="B76" s="18"/>
      <c r="C76" s="18"/>
      <c r="D76" s="18"/>
      <c r="E76" s="18"/>
      <c r="F76" s="18"/>
      <c r="G76" s="18"/>
    </row>
    <row r="77" customFormat="false" ht="15" hidden="false" customHeight="false" outlineLevel="0" collapsed="false">
      <c r="A77" s="7" t="s">
        <v>486</v>
      </c>
      <c r="B77" s="7"/>
      <c r="C77" s="7"/>
      <c r="D77" s="7"/>
      <c r="E77" s="7"/>
      <c r="F77" s="7"/>
      <c r="G77" s="7"/>
    </row>
    <row r="79" customFormat="false" ht="18" hidden="false" customHeight="true" outlineLevel="0" collapsed="false">
      <c r="A79" s="3" t="s">
        <v>488</v>
      </c>
      <c r="B79" s="4"/>
      <c r="C79" s="4"/>
      <c r="D79" s="4"/>
      <c r="E79" s="4"/>
      <c r="F79" s="4"/>
      <c r="G79" s="4"/>
    </row>
    <row r="80" customFormat="false" ht="15" hidden="false" customHeight="true" outlineLevel="0" collapsed="false">
      <c r="A80" s="22" t="s">
        <v>489</v>
      </c>
      <c r="B80" s="76"/>
      <c r="C80" s="76"/>
      <c r="D80" s="76"/>
      <c r="E80" s="7" t="s">
        <v>491</v>
      </c>
      <c r="F80" s="7"/>
      <c r="G80" s="7"/>
    </row>
    <row r="81" customFormat="false" ht="15" hidden="false" customHeight="true" outlineLevel="0" collapsed="false">
      <c r="A81" s="63" t="s">
        <v>492</v>
      </c>
      <c r="B81" s="64"/>
      <c r="C81" s="64"/>
      <c r="D81" s="64"/>
      <c r="E81" s="18" t="s">
        <v>494</v>
      </c>
      <c r="F81" s="18"/>
      <c r="G81" s="18"/>
    </row>
    <row r="82" customFormat="false" ht="15" hidden="false" customHeight="true" outlineLevel="0" collapsed="false">
      <c r="A82" s="22" t="s">
        <v>495</v>
      </c>
      <c r="B82" s="62"/>
      <c r="C82" s="62"/>
      <c r="D82" s="62"/>
      <c r="E82" s="7" t="s">
        <v>497</v>
      </c>
      <c r="F82" s="7"/>
      <c r="G82" s="7"/>
    </row>
    <row r="83" customFormat="false" ht="15" hidden="false" customHeight="true" outlineLevel="0" collapsed="false">
      <c r="A83" s="63" t="s">
        <v>498</v>
      </c>
      <c r="B83" s="76"/>
      <c r="C83" s="76"/>
      <c r="D83" s="76"/>
      <c r="E83" s="18" t="s">
        <v>499</v>
      </c>
      <c r="F83" s="18"/>
      <c r="G83" s="18"/>
    </row>
    <row r="84" customFormat="false" ht="15" hidden="false" customHeight="true" outlineLevel="0" collapsed="false">
      <c r="A84" s="22" t="s">
        <v>500</v>
      </c>
      <c r="B84" s="62"/>
      <c r="C84" s="62"/>
      <c r="D84" s="62"/>
      <c r="E84" s="7" t="s">
        <v>501</v>
      </c>
      <c r="F84" s="7"/>
      <c r="G84" s="7"/>
    </row>
    <row r="85" customFormat="false" ht="15" hidden="false" customHeight="true" outlineLevel="0" collapsed="false">
      <c r="A85" s="63" t="s">
        <v>502</v>
      </c>
      <c r="B85" s="64"/>
      <c r="C85" s="64"/>
      <c r="D85" s="64"/>
      <c r="E85" s="18" t="s">
        <v>504</v>
      </c>
      <c r="F85" s="18"/>
      <c r="G85" s="18"/>
    </row>
  </sheetData>
  <mergeCells count="73">
    <mergeCell ref="A1:G1"/>
    <mergeCell ref="A2:G2"/>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A18:G18"/>
    <mergeCell ref="E27:G27"/>
    <mergeCell ref="A30:D30"/>
    <mergeCell ref="E30:G30"/>
    <mergeCell ref="A31:D31"/>
    <mergeCell ref="E31:G31"/>
    <mergeCell ref="A32:D32"/>
    <mergeCell ref="E32:G32"/>
    <mergeCell ref="A33:D33"/>
    <mergeCell ref="E33:G33"/>
    <mergeCell ref="A34:D34"/>
    <mergeCell ref="E34:G34"/>
    <mergeCell ref="B38:D38"/>
    <mergeCell ref="B39:D39"/>
    <mergeCell ref="B40:D40"/>
    <mergeCell ref="B41:D41"/>
    <mergeCell ref="A49:G49"/>
    <mergeCell ref="B53:C53"/>
    <mergeCell ref="B54:C54"/>
    <mergeCell ref="B55:C55"/>
    <mergeCell ref="B56:C56"/>
    <mergeCell ref="B60:D60"/>
    <mergeCell ref="B61:D61"/>
    <mergeCell ref="B62:D62"/>
    <mergeCell ref="B63:D63"/>
    <mergeCell ref="B64:D64"/>
    <mergeCell ref="B65:D65"/>
    <mergeCell ref="B66:D66"/>
    <mergeCell ref="B67:D67"/>
    <mergeCell ref="B68:D68"/>
    <mergeCell ref="B69:D69"/>
    <mergeCell ref="A70:G70"/>
    <mergeCell ref="B73:G73"/>
    <mergeCell ref="B74:G74"/>
    <mergeCell ref="B75:G75"/>
    <mergeCell ref="B76:G76"/>
    <mergeCell ref="B77:G77"/>
    <mergeCell ref="B80:D80"/>
    <mergeCell ref="E80:G80"/>
    <mergeCell ref="B81:D81"/>
    <mergeCell ref="E81:G81"/>
    <mergeCell ref="B82:D82"/>
    <mergeCell ref="E82:G82"/>
    <mergeCell ref="B83:D83"/>
    <mergeCell ref="E83:G83"/>
    <mergeCell ref="B84:D84"/>
    <mergeCell ref="E84:G84"/>
    <mergeCell ref="B85:D85"/>
    <mergeCell ref="E85:G85"/>
  </mergeCells>
  <dataValidations count="3">
    <dataValidation allowBlank="true" error="Scores are whole numbers from 1 to 5." errorStyle="stop" operator="between" showDropDown="false" showErrorMessage="false" showInputMessage="false" sqref="B20:B26" type="whole">
      <formula1>1</formula1>
      <formula2>5</formula2>
    </dataValidation>
    <dataValidation allowBlank="true" error="Pick a value from the list." errorStyle="stop" operator="between" showDropDown="false" showErrorMessage="false" showInputMessage="false" sqref="B60:B69" type="list">
      <formula1>"Met,Partial,Not started,Not met,Not applicable"</formula1>
      <formula2>0</formula2>
    </dataValidation>
    <dataValidation allowBlank="true" error="Pick a value from the list." errorStyle="stop" operator="between" showDropDown="false" showErrorMessage="false" showInputMessage="false" sqref="B45:C48" type="list">
      <formula1>"Low,Medium,High,Critical"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2026-10-27T13:56:35Z</dcterms:created>
  <dc:creator>openpyxl</dc:creator>
  <dc:description/>
  <dc:language>en-US</dc:language>
  <cp:lastModifiedBy/>
  <dcterms:modified xsi:type="dcterms:W3CDTF">2026-10-27T13:56:36Z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