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0 Read Me" sheetId="1" state="visible" r:id="rId3"/>
    <sheet name="01 Scoring Model" sheetId="2" state="visible" r:id="rId4"/>
    <sheet name="02 Portfolio Summary" sheetId="3" state="visible" r:id="rId5"/>
    <sheet name="03 Sequencing" sheetId="4" state="visible" r:id="rId6"/>
    <sheet name="04 Risk Register" sheetId="5" state="visible" r:id="rId7"/>
    <sheet name="05 Open Questions" sheetId="6" state="visible" r:id="rId8"/>
    <sheet name="06 Savings Case" sheetId="7" state="visible" r:id="rId9"/>
    <sheet name="07 Decision Log" sheetId="8" state="visible" r:id="rId10"/>
    <sheet name="P1" sheetId="9" state="visible" r:id="rId11"/>
    <sheet name="P2" sheetId="10" state="visible" r:id="rId12"/>
    <sheet name="P3" sheetId="11" state="visible" r:id="rId13"/>
    <sheet name="P4" sheetId="12" state="visible" r:id="rId14"/>
    <sheet name="P5"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<sst xmlns="http://schemas.openxmlformats.org/spreadsheetml/2006/main" count="1626" uniqueCount="770">
  <si>
    <t xml:space="preserve">Enterprise Architecture Project Impact Matrix</t>
  </si>
  <si>
    <t xml:space="preserve">Fernwood Distribution Ltd, cloud portfolio (TEST SCENARIO)  |  Version 1.0  |  2026-03-09</t>
  </si>
  <si>
    <t xml:space="preserve">Purpose</t>
  </si>
  <si>
    <t xml:space="preserve">Ranks five proposed cloud initiatives for a first funding tranche of up to 150,000 USD, weighted for run cost as the CFO instructed on 2026-03-02.</t>
  </si>
  <si>
    <t xml:space="preserve">All names and figures are fictional test data.</t>
  </si>
  <si>
    <t xml:space="preserve">Every score is a starting position for review, not a decision.</t>
  </si>
  <si>
    <t xml:space="preserve">Sheets</t>
  </si>
  <si>
    <t xml:space="preserve">Sheet</t>
  </si>
  <si>
    <t xml:space="preserve">What it is for</t>
  </si>
  <si>
    <t xml:space="preserve">Who maintains it</t>
  </si>
  <si>
    <t xml:space="preserve">Update cadence</t>
  </si>
  <si>
    <t xml:space="preserve">01 Scoring Model</t>
  </si>
  <si>
    <t xml:space="preserve">Weights and the 1 to 5 anchors. Change a weight and every project score recalculates.</t>
  </si>
  <si>
    <t xml:space="preserve">Enterprise Architecture</t>
  </si>
  <si>
    <t xml:space="preserve">At each portfolio review</t>
  </si>
  <si>
    <t xml:space="preserve">02 Portfolio Summary</t>
  </si>
  <si>
    <t xml:space="preserve">Roll-up with weighted score, rank, cost and score per $100k. The board view.</t>
  </si>
  <si>
    <t xml:space="preserve">Automatic</t>
  </si>
  <si>
    <t xml:space="preserve">03 Sequencing</t>
  </si>
  <si>
    <t xml:space="preserve">Waves, cross-project dependencies, and resource contention.</t>
  </si>
  <si>
    <t xml:space="preserve">EA and Delivery</t>
  </si>
  <si>
    <t xml:space="preserve">04 Risk Register</t>
  </si>
  <si>
    <t xml:space="preserve">All project risks with likelihood, impact and mitigation.</t>
  </si>
  <si>
    <t xml:space="preserve">Fortnightly</t>
  </si>
  <si>
    <t xml:space="preserve">05 Open Questions</t>
  </si>
  <si>
    <t xml:space="preserve">What must be answered before approval, and the decision each blocks.</t>
  </si>
  <si>
    <t xml:space="preserve">Engagement lead</t>
  </si>
  <si>
    <t xml:space="preserve">Weekly until closed</t>
  </si>
  <si>
    <t xml:space="preserve">06 Savings Case</t>
  </si>
  <si>
    <t xml:space="preserve">Payback model. Fill the baseline and expected saving; payback calculates.</t>
  </si>
  <si>
    <t xml:space="preserve">FinOps and EA</t>
  </si>
  <si>
    <t xml:space="preserve">Monthly</t>
  </si>
  <si>
    <t xml:space="preserve">07 Decision Log</t>
  </si>
  <si>
    <t xml:space="preserve">What the forum decided, on what conditions, and who answers for it.</t>
  </si>
  <si>
    <t xml:space="preserve">After each forum</t>
  </si>
  <si>
    <t xml:space="preserve">P1 to P8</t>
  </si>
  <si>
    <t xml:space="preserve">One sheet per initiative. Delete the slots you do not use.</t>
  </si>
  <si>
    <t xml:space="preserve">Project architect</t>
  </si>
  <si>
    <t xml:space="preserve">Weekly during delivery</t>
  </si>
  <si>
    <t xml:space="preserve">Cell conventions</t>
  </si>
  <si>
    <t xml:space="preserve">Blue text</t>
  </si>
  <si>
    <t xml:space="preserve">Hardcoded input. Edit these.</t>
  </si>
  <si>
    <t xml:space="preserve">Green text</t>
  </si>
  <si>
    <t xml:space="preserve">Link pulled from another sheet. Do not overwrite.</t>
  </si>
  <si>
    <t xml:space="preserve">Black text</t>
  </si>
  <si>
    <t xml:space="preserve">Calculated. Do not overwrite.</t>
  </si>
  <si>
    <t xml:space="preserve">Yellow fill</t>
  </si>
  <si>
    <t xml:space="preserve">Information still owed. These are the gaps that block approval.</t>
  </si>
  <si>
    <t xml:space="preserve">Rules that keep this useful</t>
  </si>
  <si>
    <t xml:space="preserve">Never give two initiatives the same score profile. If they score the same on every dimension, the matrix cannot rank them and has no decision value. This is the single most common failure mode.</t>
  </si>
  <si>
    <t xml:space="preserve">Score against evidence, and cite the source document and section in the evidence column. A score of 3 with a named source beats a score of 5 with none.</t>
  </si>
  <si>
    <t xml:space="preserve">Where no evidence exists, score conservatively and log the gap on '05 Open Questions'. Do not guess upward.</t>
  </si>
  <si>
    <t xml:space="preserve">A score can be deliberately low where a proposal is weaker than it claims. Those are the most valuable cells in the workbook.</t>
  </si>
  <si>
    <t xml:space="preserve">Set the weights to the prioritization lens the sponsor confirms, before scoring. Do not score first and pick the lens that gives the answer you wanted.</t>
  </si>
  <si>
    <t xml:space="preserve">Owners are people, not roles. 'Security' does not approve anything; a named individual does.</t>
  </si>
  <si>
    <t xml:space="preserve">Governance record</t>
  </si>
  <si>
    <t xml:space="preserve">Prioritization lens</t>
  </si>
  <si>
    <t xml:space="preserve">run_cost</t>
  </si>
  <si>
    <t xml:space="preserve">Confirmed with the sponsor before scoring.</t>
  </si>
  <si>
    <t xml:space="preserve">Lens agreed by (named)</t>
  </si>
  <si>
    <t xml:space="preserve">Dana Whitcombe, CFO</t>
  </si>
  <si>
    <t xml:space="preserve">The person who accepted these weights.</t>
  </si>
  <si>
    <t xml:space="preserve">Lens agreed on</t>
  </si>
  <si>
    <t xml:space="preserve">2026-03-02</t>
  </si>
  <si>
    <t xml:space="preserve">Risk appetite</t>
  </si>
  <si>
    <t xml:space="preserve">No risk scoring 9 or above goes forward without a named owner.</t>
  </si>
  <si>
    <t xml:space="preserve">Red risks start at a score of 9.</t>
  </si>
  <si>
    <t xml:space="preserve">Next review</t>
  </si>
  <si>
    <t xml:space="preserve">2026-06-01</t>
  </si>
  <si>
    <t xml:space="preserve">Re-score on a material change, or on this date.</t>
  </si>
  <si>
    <t xml:space="preserve">Terms follow TOGAF and COBIT: an initiative is a work package, a wave is a transition architecture. See references/standards-mapping.md.</t>
  </si>
  <si>
    <t xml:space="preserve">Document coverage</t>
  </si>
  <si>
    <t xml:space="preserve">Document</t>
  </si>
  <si>
    <t xml:space="preserve">What it feeds in this workbook</t>
  </si>
  <si>
    <t xml:space="preserve">Level</t>
  </si>
  <si>
    <t xml:space="preserve">Coverage</t>
  </si>
  <si>
    <t xml:space="preserve">Proposal, business case or statement of work (PROPOSAL)</t>
  </si>
  <si>
    <t xml:space="preserve">Project profile (name, sponsor, scope, deadline, status, basis); Business value and Cost assessments; the questions the proposal asks the client go to 05 Open Questions</t>
  </si>
  <si>
    <t xml:space="preserve">Required, each initiative</t>
  </si>
  <si>
    <t xml:space="preserve">Received for all scored initiatives</t>
  </si>
  <si>
    <t xml:space="preserve">Cost and effort estimate: line items, hours by role, duration (ESTIMATE)</t>
  </si>
  <si>
    <t xml:space="preserve">Cost and duration cells, score per $100k on 02 Portfolio Summary, capacity on 03 Sequencing, Delivery confidence</t>
  </si>
  <si>
    <t xml:space="preserve">Target-state architecture, principles and strategy (TARGET_STATE)</t>
  </si>
  <si>
    <t xml:space="preserve">Strategic alignment score, section 9 (capability, principles, gap closed), gates 1 and 2</t>
  </si>
  <si>
    <t xml:space="preserve">Required, portfolio</t>
  </si>
  <si>
    <t xml:space="preserve">Received</t>
  </si>
  <si>
    <t xml:space="preserve">Sponsor confirmation of the prioritization lens (email or minutes) (LENS)</t>
  </si>
  <si>
    <t xml:space="preserve">01 Scoring Model weights, Governance record on the Read Me (who agreed the lens, and when)</t>
  </si>
  <si>
    <t xml:space="preserve">Funding envelope or budget statement, or a written 'not yet defined' (FUNDING)</t>
  </si>
  <si>
    <t xml:space="preserve">03 Sequencing (waves as approval tranches), Delivery confidence weighting</t>
  </si>
  <si>
    <t xml:space="preserve">Current-state architecture or inventory of the affected systems (CURRENT_STATE)</t>
  </si>
  <si>
    <t xml:space="preserve">Dependencies, section 9 (gap closed), Risk reduction</t>
  </si>
  <si>
    <t xml:space="preserve">Recommended, portfolio</t>
  </si>
  <si>
    <t xml:space="preserve">Not provided</t>
  </si>
  <si>
    <t xml:space="preserve">Current run-cost baseline: cost export, invoices, licence list (COST_BASELINE)</t>
  </si>
  <si>
    <t xml:space="preserve">06 Savings Case, KPI baselines, Cost optimization score</t>
  </si>
  <si>
    <t xml:space="preserve">Recommended, each initiative or portfolio</t>
  </si>
  <si>
    <t xml:space="preserve">Incident, risk and audit history (INCIDENTS)</t>
  </si>
  <si>
    <t xml:space="preserve">Risk reduction and Time criticality scores, 04 Risk Register</t>
  </si>
  <si>
    <t xml:space="preserve">Security and compliance requirements, findings and review status (SECURITY)</t>
  </si>
  <si>
    <t xml:space="preserve">Security and compliance score, gates 3 and 8</t>
  </si>
  <si>
    <t xml:space="preserve">Recommended, each initiative</t>
  </si>
  <si>
    <t xml:space="preserve">Ownership and support model: named people, RACI, org chart (OWNERSHIP)</t>
  </si>
  <si>
    <t xml:space="preserve">Sponsor, architecture owner, delivery owner, benefits owner, gate 4</t>
  </si>
  <si>
    <t xml:space="preserve">Resource and capacity plan: named roles and availability (CAPACITY)</t>
  </si>
  <si>
    <t xml:space="preserve">Capacity table on 03 Sequencing, Delivery confidence</t>
  </si>
  <si>
    <t xml:space="preserve">Vendor contracts, licences and renewal dates (CONTRACTS)</t>
  </si>
  <si>
    <t xml:space="preserve">Time criticality, hard deadlines, consumption-billed dependencies</t>
  </si>
  <si>
    <t xml:space="preserve">Earlier matrices, ADRs and forum decisions (PRIOR_DECISIONS)</t>
  </si>
  <si>
    <t xml:space="preserve">Consistency of scores, 07 Decision Log, gate 10</t>
  </si>
  <si>
    <t xml:space="preserve">Optional, portfolio</t>
  </si>
  <si>
    <t xml:space="preserve">Document register</t>
  </si>
  <si>
    <t xml:space="preserve">Type and initiative</t>
  </si>
  <si>
    <t xml:space="preserve">Document and provider</t>
  </si>
  <si>
    <t xml:space="preserve">Version or date</t>
  </si>
  <si>
    <t xml:space="preserve">Status</t>
  </si>
  <si>
    <t xml:space="preserve">PROPOSAL / P1</t>
  </si>
  <si>
    <t xml:space="preserve">Proposal P1 (Priya Narang)</t>
  </si>
  <si>
    <t xml:space="preserve">PROPOSAL / P2</t>
  </si>
  <si>
    <t xml:space="preserve">Proposal P2 (Priya Narang)</t>
  </si>
  <si>
    <t xml:space="preserve">PROPOSAL / P3</t>
  </si>
  <si>
    <t xml:space="preserve">Proposal P3 (Priya Narang)</t>
  </si>
  <si>
    <t xml:space="preserve">PROPOSAL / P4</t>
  </si>
  <si>
    <t xml:space="preserve">Proposal P4 (Tomas Ellery)</t>
  </si>
  <si>
    <t xml:space="preserve">PROPOSAL / P5</t>
  </si>
  <si>
    <t xml:space="preserve">Idea P5 (Joss Penhallow)</t>
  </si>
  <si>
    <t xml:space="preserve">ESTIMATE / P1</t>
  </si>
  <si>
    <t xml:space="preserve">Estimate P1 (K. Dunmore)</t>
  </si>
  <si>
    <t xml:space="preserve">ESTIMATE / P2</t>
  </si>
  <si>
    <t xml:space="preserve">Estimate P2 (K. Dunmore)</t>
  </si>
  <si>
    <t xml:space="preserve">ESTIMATE / P3</t>
  </si>
  <si>
    <t xml:space="preserve">Estimate P3 (K. Dunmore)</t>
  </si>
  <si>
    <t xml:space="preserve">ESTIMATE / P4</t>
  </si>
  <si>
    <t xml:space="preserve">Estimate P4 (deck total differs from line items) (L. Hartwell)</t>
  </si>
  <si>
    <t xml:space="preserve">ESTIMATE / P5</t>
  </si>
  <si>
    <t xml:space="preserve">No estimate exists (Joss Penhallow)</t>
  </si>
  <si>
    <t xml:space="preserve">Not available</t>
  </si>
  <si>
    <t xml:space="preserve">TARGET_STATE / ALL</t>
  </si>
  <si>
    <t xml:space="preserve">Target-state architecture extract, v2 (R. Alder)</t>
  </si>
  <si>
    <t xml:space="preserve">2025-11</t>
  </si>
  <si>
    <t xml:space="preserve">LENS / ALL</t>
  </si>
  <si>
    <t xml:space="preserve">CFO email on prioritisation (Dana Whitcombe)</t>
  </si>
  <si>
    <t xml:space="preserve">FUNDING / ALL</t>
  </si>
  <si>
    <t xml:space="preserve">CFO memo: no approved budget, first tranche up to 150,000 (Dana Whitcombe)</t>
  </si>
  <si>
    <t xml:space="preserve">2026-03-04</t>
  </si>
  <si>
    <t xml:space="preserve">COST_BASELINE / P2</t>
  </si>
  <si>
    <t xml:space="preserve">Finance export, file service (Finance)</t>
  </si>
  <si>
    <t xml:space="preserve">2026-02</t>
  </si>
  <si>
    <t xml:space="preserve">COST_BASELINE / P3</t>
  </si>
  <si>
    <t xml:space="preserve">Finance export, monitoring tools (Finance)</t>
  </si>
  <si>
    <t xml:space="preserve">COST_BASELINE / P4</t>
  </si>
  <si>
    <t xml:space="preserve">Order-management platform not in export (Finance)</t>
  </si>
  <si>
    <t xml:space="preserve">Requested</t>
  </si>
  <si>
    <t xml:space="preserve">INCIDENTS / ALL</t>
  </si>
  <si>
    <t xml:space="preserve">Incident and audit history Sep 2025 to Feb 2026 (Operations)</t>
  </si>
  <si>
    <t xml:space="preserve">SECURITY / ALL</t>
  </si>
  <si>
    <t xml:space="preserve">SEC-07 and review status (Marta Quesnel)</t>
  </si>
  <si>
    <t xml:space="preserve">2026-03-05</t>
  </si>
  <si>
    <t xml:space="preserve">CAPACITY / ALL</t>
  </si>
  <si>
    <t xml:space="preserve">Capacity April to October 2026 (Delivery lead)</t>
  </si>
  <si>
    <t xml:space="preserve">CONTRACTS / ALL</t>
  </si>
  <si>
    <t xml:space="preserve">Contract extract (Procurement)</t>
  </si>
  <si>
    <t xml:space="preserve">Scoring model</t>
  </si>
  <si>
    <t xml:space="preserve">Lens: run_cost. Changing a weight recalculates every project sheet and the summary.</t>
  </si>
  <si>
    <t xml:space="preserve">Weights</t>
  </si>
  <si>
    <t xml:space="preserve">Dimension</t>
  </si>
  <si>
    <t xml:space="preserve">Weight</t>
  </si>
  <si>
    <t xml:space="preserve">Rationale</t>
  </si>
  <si>
    <t xml:space="preserve">Business value</t>
  </si>
  <si>
    <t xml:space="preserve">Business outcome, not just technical change.</t>
  </si>
  <si>
    <t xml:space="preserve">Cost optimization and savings</t>
  </si>
  <si>
    <t xml:space="preserve">Highest weight: sponsor asked to reduce run cost first (LENS).</t>
  </si>
  <si>
    <t xml:space="preserve">Time criticality</t>
  </si>
  <si>
    <t xml:space="preserve">Second priority per sponsor: deadline risk.</t>
  </si>
  <si>
    <t xml:space="preserve">Risk reduction and resilience</t>
  </si>
  <si>
    <t xml:space="preserve">Reduction in incidents and single points of failure.</t>
  </si>
  <si>
    <t xml:space="preserve">Security and compliance</t>
  </si>
  <si>
    <t xml:space="preserve">Net change in security posture. Can be negative.</t>
  </si>
  <si>
    <t xml:space="preserve">Delivery confidence</t>
  </si>
  <si>
    <t xml:space="preserve">Capacity and clarity of scope.</t>
  </si>
  <si>
    <t xml:space="preserve">Strategic and architecture alignment</t>
  </si>
  <si>
    <t xml:space="preserve">Fit to target-state principles.</t>
  </si>
  <si>
    <t xml:space="preserve">Total</t>
  </si>
  <si>
    <t xml:space="preserve">Must equal 100 percent.</t>
  </si>
  <si>
    <t xml:space="preserve">Lens presets</t>
  </si>
  <si>
    <t xml:space="preserve">Preset</t>
  </si>
  <si>
    <t xml:space="preserve">balanced</t>
  </si>
  <si>
    <t xml:space="preserve">deadline_risk</t>
  </si>
  <si>
    <t xml:space="preserve">delivery_speed</t>
  </si>
  <si>
    <t xml:space="preserve">security</t>
  </si>
  <si>
    <t xml:space="preserve">Copy a preset row into B6:B12 to switch lens. Confirm the lens with the sponsor before scoring, not after.</t>
  </si>
  <si>
    <t xml:space="preserve">Score anchors, 1 to 5</t>
  </si>
  <si>
    <t xml:space="preserve">1</t>
  </si>
  <si>
    <t xml:space="preserve">2</t>
  </si>
  <si>
    <t xml:space="preserve">3</t>
  </si>
  <si>
    <t xml:space="preserve">4</t>
  </si>
  <si>
    <t xml:space="preserve">5</t>
  </si>
  <si>
    <t xml:space="preserve">No measurable business outcome; internal convenience only.</t>
  </si>
  <si>
    <t xml:space="preserve">Efficiency gain for one team, no quantified baseline.</t>
  </si>
  <si>
    <t xml:space="preserve">Quantified efficiency or quality gain for a defined process.</t>
  </si>
  <si>
    <t xml:space="preserve">Removes a live operational blind spot or unlocks decisions across teams.</t>
  </si>
  <si>
    <t xml:space="preserve">Direct revenue, contractual, or client-facing outcome.</t>
  </si>
  <si>
    <t xml:space="preserve">No savings; adds run cost.</t>
  </si>
  <si>
    <t xml:space="preserve">Soft labour savings only, not booked.</t>
  </si>
  <si>
    <t xml:space="preserve">Modest run-cost reduction, single digit percent of the affected spend.</t>
  </si>
  <si>
    <t xml:space="preserve">Material and measurable reduction, or a direct enabler of one.</t>
  </si>
  <si>
    <t xml:space="preserve">Primary purpose is cost reduction with a named savings target.</t>
  </si>
  <si>
    <t xml:space="preserve">No deadline. Can slip a year with no consequence.</t>
  </si>
  <si>
    <t xml:space="preserve">Preferable this year, no consequence if deferred.</t>
  </si>
  <si>
    <t xml:space="preserve">A live problem is costing time or risk every month it waits.</t>
  </si>
  <si>
    <t xml:space="preserve">Dependency window or vendor change makes deferral expensive.</t>
  </si>
  <si>
    <t xml:space="preserve">Hard external deadline or an already unsupported component.</t>
  </si>
  <si>
    <t xml:space="preserve">No change to risk posture.</t>
  </si>
  <si>
    <t xml:space="preserve">Marginal improvement.</t>
  </si>
  <si>
    <t xml:space="preserve">Reduces the frequency or blast radius of a known failure mode.</t>
  </si>
  <si>
    <t xml:space="preserve">Removes a recurring incident cause or restores a lost safety net.</t>
  </si>
  <si>
    <t xml:space="preserve">Removes a single point of failure with client-visible consequences.</t>
  </si>
  <si>
    <t xml:space="preserve">Increases attack surface with no offsetting control.</t>
  </si>
  <si>
    <t xml:space="preserve">Net neutral, or new surface offset by new controls.</t>
  </si>
  <si>
    <t xml:space="preserve">Minor control improvement.</t>
  </si>
  <si>
    <t xml:space="preserve">Removes standing credentials, adds auditability or least privilege.</t>
  </si>
  <si>
    <t xml:space="preserve">Closes an audit or regulatory finding.</t>
  </si>
  <si>
    <t xml:space="preserve">Novel, undefined scope, unproven pattern, external dependency.</t>
  </si>
  <si>
    <t xml:space="preserve">Large scope with material unknowns.</t>
  </si>
  <si>
    <t xml:space="preserve">Well understood work with normal coordination overhead.</t>
  </si>
  <si>
    <t xml:space="preserve">Proven pattern already running elsewhere in the estate.</t>
  </si>
  <si>
    <t xml:space="preserve">Small, bounded, single team, reversible in hours.</t>
  </si>
  <si>
    <t xml:space="preserve">Conflicts with target-state architecture.</t>
  </si>
  <si>
    <t xml:space="preserve">Tactical, creates no reusable asset.</t>
  </si>
  <si>
    <t xml:space="preserve">Consistent with standards, no reuse beyond itself.</t>
  </si>
  <si>
    <t xml:space="preserve">Advances a target-state standard reusable by other workloads.</t>
  </si>
  <si>
    <t xml:space="preserve">Establishes or completes an enterprise standard.</t>
  </si>
  <si>
    <t xml:space="preserve">Portfolio summary</t>
  </si>
  <si>
    <t xml:space="preserve">Everything pulls from the project sheets. Weights come from '01 Scoring Model'.</t>
  </si>
  <si>
    <t xml:space="preserve">Ranked portfolio</t>
  </si>
  <si>
    <t xml:space="preserve">ID</t>
  </si>
  <si>
    <t xml:space="preserve">Project</t>
  </si>
  <si>
    <t xml:space="preserve">Estimated cost (USD)</t>
  </si>
  <si>
    <t xml:space="preserve">Duration (months)</t>
  </si>
  <si>
    <t xml:space="preserve">Weighted score</t>
  </si>
  <si>
    <t xml:space="preserve">Rank</t>
  </si>
  <si>
    <t xml:space="preserve">Score per $100k</t>
  </si>
  <si>
    <t xml:space="preserve">Cost optimization</t>
  </si>
  <si>
    <t xml:space="preserve">Recommended wave</t>
  </si>
  <si>
    <t xml:space="preserve">P1</t>
  </si>
  <si>
    <t xml:space="preserve">P2</t>
  </si>
  <si>
    <t xml:space="preserve">P3</t>
  </si>
  <si>
    <t xml:space="preserve">P4</t>
  </si>
  <si>
    <t xml:space="preserve">P5</t>
  </si>
  <si>
    <t xml:space="preserve">Portfolio</t>
  </si>
  <si>
    <t xml:space="preserve">How to read this</t>
  </si>
  <si>
    <t xml:space="preserve">P2 ranks first on the run-cost lens: hard date, evidenced saving and the best case for a managed service. P1 has the best score per $100k and enables the others.</t>
  </si>
  <si>
    <t xml:space="preserve">P4 scores lowest and should stay on hold: it breaches SEC-07, needs more architect hours than exist and has no cost baseline.</t>
  </si>
  <si>
    <t xml:space="preserve">P5 is not scored. It has no business case or estimate.</t>
  </si>
  <si>
    <t xml:space="preserve">Sequencing, dependencies and capacity</t>
  </si>
  <si>
    <t xml:space="preserve">Recommended delivery order and the constraints that shape it</t>
  </si>
  <si>
    <t xml:space="preserve">Recommended waves</t>
  </si>
  <si>
    <t xml:space="preserve">Wave</t>
  </si>
  <si>
    <t xml:space="preserve">Projects</t>
  </si>
  <si>
    <t xml:space="preserve">Indicative window</t>
  </si>
  <si>
    <t xml:space="preserve">Cost (USD)</t>
  </si>
  <si>
    <t xml:space="preserve">Why this grouping</t>
  </si>
  <si>
    <t xml:space="preserve">Entry condition</t>
  </si>
  <si>
    <t xml:space="preserve">Wave 1</t>
  </si>
  <si>
    <t xml:space="preserve">P1, P2</t>
  </si>
  <si>
    <t xml:space="preserve">April to July 2026</t>
  </si>
  <si>
    <t xml:space="preserve">P2 has the hard date and the largest evidenced saving; P1 provides the baseline and is cheap. Together 144,000, inside the first tranche of 150,000.</t>
  </si>
  <si>
    <t xml:space="preserve">Board approval of the first tranche on 2026-03-24. Name the shared-service tag owner. Agree the warehouse cutover window.</t>
  </si>
  <si>
    <t xml:space="preserve">Wave 2</t>
  </si>
  <si>
    <t xml:space="preserve">August to October 2026</t>
  </si>
  <si>
    <t xml:space="preserve">Needs P1 first so ingest can be attributed. Decision needed before the tool C notice date of 2026-09-16.</t>
  </si>
  <si>
    <t xml:space="preserve">Second tranche approved after the 2026-06-01 review. Ingest volume agreed.</t>
  </si>
  <si>
    <t xml:space="preserve">Wave 3</t>
  </si>
  <si>
    <t xml:space="preserve">Hold</t>
  </si>
  <si>
    <t xml:space="preserve">P4, P5</t>
  </si>
  <si>
    <t xml:space="preserve">Not scheduled</t>
  </si>
  <si>
    <t xml:space="preserve">P4: security breach of SEC-07, architect capacity impossible, no baseline. P5: no business case or estimate.</t>
  </si>
  <si>
    <t xml:space="preserve">P4: design that meets SEC-07, evidenced baseline, resequenced capacity. P5: a business case and an estimate.</t>
  </si>
  <si>
    <t xml:space="preserve">Cross-project dependencies</t>
  </si>
  <si>
    <t xml:space="preserve">From</t>
  </si>
  <si>
    <t xml:space="preserve">To</t>
  </si>
  <si>
    <t xml:space="preserve">Type</t>
  </si>
  <si>
    <t xml:space="preserve">Strength</t>
  </si>
  <si>
    <t xml:space="preserve">What it means for sequencing</t>
  </si>
  <si>
    <t xml:space="preserve">Owner</t>
  </si>
  <si>
    <t xml:space="preserve">Enables</t>
  </si>
  <si>
    <t xml:space="preserve">Strong</t>
  </si>
  <si>
    <t xml:space="preserve">P1 tags allow ingest cost to be attributed per team.</t>
  </si>
  <si>
    <t xml:space="preserve">Priya Narang</t>
  </si>
  <si>
    <t xml:space="preserve">P1 would supply the missing run-cost baseline for P4.</t>
  </si>
  <si>
    <t xml:space="preserve">Commercial</t>
  </si>
  <si>
    <t xml:space="preserve">Medium</t>
  </si>
  <si>
    <t xml:space="preserve">Cluster telemetry adds volume to the consumption-billed platform that P3 does not model.</t>
  </si>
  <si>
    <t xml:space="preserve">Capacity</t>
  </si>
  <si>
    <t xml:space="preserve">R. Alder is needed in the same months by P2 (April to July) and P4 (June to October).</t>
  </si>
  <si>
    <t xml:space="preserve">Delivery lead</t>
  </si>
  <si>
    <t xml:space="preserve">R. Alder has 120 hours in August to October for P3 only if P4 is not running.</t>
  </si>
  <si>
    <t xml:space="preserve">Resource contention</t>
  </si>
  <si>
    <t xml:space="preserve">Role</t>
  </si>
  <si>
    <t xml:space="preserve">Committed across the portfolio</t>
  </si>
  <si>
    <t xml:space="preserve">Peak concurrent demand</t>
  </si>
  <si>
    <t xml:space="preserve">Constraint</t>
  </si>
  <si>
    <t xml:space="preserve">Solutions Architect</t>
  </si>
  <si>
    <t xml:space="preserve">160 productive hours a month, no backup. Named on every proposal. Demand: Apr-May P1 60 + P2 75 = 135; Jun-Jul P2 75 + P4 220 = 295; Aug-Oct P3 40 + P4 220 = 260.</t>
  </si>
  <si>
    <t xml:space="preserve">Infrastructure engineers</t>
  </si>
  <si>
    <t xml:space="preserve">150 hours each a month. P1 and P2 fit.</t>
  </si>
  <si>
    <t xml:space="preserve">Platform engineers</t>
  </si>
  <si>
    <t xml:space="preserve">100 hours each a month, shared with operations. P4 needs 900 hours each over 5 months.</t>
  </si>
  <si>
    <t xml:space="preserve">Consolidated risk register</t>
  </si>
  <si>
    <t xml:space="preserve">All project risks, ranked by initial likelihood times impact</t>
  </si>
  <si>
    <t xml:space="preserve">Risks across the portfolio</t>
  </si>
  <si>
    <t xml:space="preserve">Risk</t>
  </si>
  <si>
    <t xml:space="preserve">Likelihood</t>
  </si>
  <si>
    <t xml:space="preserve">Impact</t>
  </si>
  <si>
    <t xml:space="preserve">Score</t>
  </si>
  <si>
    <t xml:space="preserve">Mitigation</t>
  </si>
  <si>
    <t xml:space="preserve">Response</t>
  </si>
  <si>
    <t xml:space="preserve">Residual</t>
  </si>
  <si>
    <t xml:space="preserve">R01</t>
  </si>
  <si>
    <t xml:space="preserve">Ingest volume grows and the bill exceeds the estimate</t>
  </si>
  <si>
    <t xml:space="preserve">High</t>
  </si>
  <si>
    <t xml:space="preserve">Cap ingest per team, review monthly, set a budget alert.</t>
  </si>
  <si>
    <t xml:space="preserve">Mitigate</t>
  </si>
  <si>
    <t xml:space="preserve">R02</t>
  </si>
  <si>
    <t xml:space="preserve">Credentials stored as keys on nodes breach SEC-07</t>
  </si>
  <si>
    <t xml:space="preserve">Redesign to managed identity or drop the self-managed design.</t>
  </si>
  <si>
    <t xml:space="preserve">Marta Quesnel</t>
  </si>
  <si>
    <t xml:space="preserve">Avoid</t>
  </si>
  <si>
    <t xml:space="preserve">R03</t>
  </si>
  <si>
    <t xml:space="preserve">Architect capacity exceeded: 1,100 hours against 800 available</t>
  </si>
  <si>
    <t xml:space="preserve">Resequence, split the scope or reduce architect hours before approval.</t>
  </si>
  <si>
    <t xml:space="preserve">Tomas Ellery</t>
  </si>
  <si>
    <t xml:space="preserve">R04</t>
  </si>
  <si>
    <t xml:space="preserve">Unknown refactor scope inflates cost</t>
  </si>
  <si>
    <t xml:space="preserve">Fixed-scope assessment before approval.</t>
  </si>
  <si>
    <t xml:space="preserve">L. Hartwell</t>
  </si>
  <si>
    <t xml:space="preserve">R05</t>
  </si>
  <si>
    <t xml:space="preserve">Data loss or permission errors at cutover</t>
  </si>
  <si>
    <t xml:space="preserve">Critical</t>
  </si>
  <si>
    <t xml:space="preserve">Parallel run with reconciliation of permissions and file counts before the old shares are switched off.</t>
  </si>
  <si>
    <t xml:space="preserve">K. Dunmore</t>
  </si>
  <si>
    <t xml:space="preserve">R06</t>
  </si>
  <si>
    <t xml:space="preserve">Warehouse cutover window too short</t>
  </si>
  <si>
    <t xml:space="preserve">Agree the window with warehouse operations before scheduling.</t>
  </si>
  <si>
    <t xml:space="preserve">R07</t>
  </si>
  <si>
    <t xml:space="preserve">Alert migration gaps during the switch</t>
  </si>
  <si>
    <t xml:space="preserve">Run old and new in parallel for one on-call cycle.</t>
  </si>
  <si>
    <t xml:space="preserve">R08</t>
  </si>
  <si>
    <t xml:space="preserve">Team has not run a production cluster</t>
  </si>
  <si>
    <t xml:space="preserve">Managed Kubernetes service or training before approval.</t>
  </si>
  <si>
    <t xml:space="preserve">R09</t>
  </si>
  <si>
    <t xml:space="preserve">Shared services have no tag owner, so spend stays unallocated</t>
  </si>
  <si>
    <t xml:space="preserve">Name an owner per shared service before enforcement starts.</t>
  </si>
  <si>
    <t xml:space="preserve">R10</t>
  </si>
  <si>
    <t xml:space="preserve">OS support lapses before the migration completes</t>
  </si>
  <si>
    <t xml:space="preserve">Low</t>
  </si>
  <si>
    <t xml:space="preserve">Four month plan ends July 2026, six months before the date. Escalate if cutover slips past October.</t>
  </si>
  <si>
    <t xml:space="preserve">Accept</t>
  </si>
  <si>
    <t xml:space="preserve">R11</t>
  </si>
  <si>
    <t xml:space="preserve">Owners ignore dashboards</t>
  </si>
  <si>
    <t xml:space="preserve">Monthly review in the infrastructure meeting.</t>
  </si>
  <si>
    <t xml:space="preserve">Score is likelihood times impact, each 1 to 4 (Low, Medium, High, Critical). Red at 9 or above, amber from 6. Every red risk needs a named owner and a review date before its project is approved. Response is Mitigate, Accept, Transfer or Avoid. Residual is the score once the mitigation is in place.</t>
  </si>
  <si>
    <t xml:space="preserve">Open questions and information gaps</t>
  </si>
  <si>
    <t xml:space="preserve">What is still owed, and the decision each answer unblocks</t>
  </si>
  <si>
    <t xml:space="preserve">Blocking questions, in priority order</t>
  </si>
  <si>
    <t xml:space="preserve">Area</t>
  </si>
  <si>
    <t xml:space="preserve">Question</t>
  </si>
  <si>
    <t xml:space="preserve">Why it matters and what it unblocks</t>
  </si>
  <si>
    <t xml:space="preserve">Owner to answer</t>
  </si>
  <si>
    <t xml:space="preserve">Q01</t>
  </si>
  <si>
    <t xml:space="preserve">Business</t>
  </si>
  <si>
    <t xml:space="preserve">What is the acceptable cutover window for the warehouse shares?</t>
  </si>
  <si>
    <t xml:space="preserve">Needed before the cutover can be scheduled.</t>
  </si>
  <si>
    <t xml:space="preserve">Warehouse operations</t>
  </si>
  <si>
    <t xml:space="preserve">Open</t>
  </si>
  <si>
    <t xml:space="preserve">Q02</t>
  </si>
  <si>
    <t xml:space="preserve">How long must the old shares be retained after cutover?</t>
  </si>
  <si>
    <t xml:space="preserve">Affects decommission date and cost.</t>
  </si>
  <si>
    <t xml:space="preserve">Q03</t>
  </si>
  <si>
    <t xml:space="preserve">Ownership</t>
  </si>
  <si>
    <t xml:space="preserve">Who owns the tags for shared services?</t>
  </si>
  <si>
    <t xml:space="preserve">Enforcement cannot start without an owner.</t>
  </si>
  <si>
    <t xml:space="preserve">Q04</t>
  </si>
  <si>
    <t xml:space="preserve">Cost</t>
  </si>
  <si>
    <t xml:space="preserve">What ingest volume should be assumed?</t>
  </si>
  <si>
    <t xml:space="preserve">Run cost ranges from 5,500 to 9,000 a month.</t>
  </si>
  <si>
    <t xml:space="preserve">Q05</t>
  </si>
  <si>
    <t xml:space="preserve">Is 2026-09-16 the decision date for tool C?</t>
  </si>
  <si>
    <t xml:space="preserve">Missing it commits 12 months at 2,700 a month.</t>
  </si>
  <si>
    <t xml:space="preserve">Q06</t>
  </si>
  <si>
    <t xml:space="preserve">What is the run cost baseline of the order-management platform?</t>
  </si>
  <si>
    <t xml:space="preserve">The 30% claim cannot be tested without it.</t>
  </si>
  <si>
    <t xml:space="preserve">Q07</t>
  </si>
  <si>
    <t xml:space="preserve">Why does the deck total of 205,000 differ from the line items of 220,000?</t>
  </si>
  <si>
    <t xml:space="preserve">Cost used for scoring is 220,000.</t>
  </si>
  <si>
    <t xml:space="preserve">Q08</t>
  </si>
  <si>
    <t xml:space="preserve">Security</t>
  </si>
  <si>
    <t xml:space="preserve">How will the design meet SEC-07 (managed identity, provider or automated patching)?</t>
  </si>
  <si>
    <t xml:space="preserve">Blocks any approval.</t>
  </si>
  <si>
    <t xml:space="preserve">Q09</t>
  </si>
  <si>
    <t xml:space="preserve">How can 1,100 architect hours fit in the period?</t>
  </si>
  <si>
    <t xml:space="preserve">R. Alder has 800 productive hours in the 5 months.</t>
  </si>
  <si>
    <t xml:space="preserve">Q10</t>
  </si>
  <si>
    <t xml:space="preserve">Business case</t>
  </si>
  <si>
    <t xml:space="preserve">What is the business case, cost, duration and risk?</t>
  </si>
  <si>
    <t xml:space="preserve">Nothing to score until these exist.</t>
  </si>
  <si>
    <t xml:space="preserve">Joss Penhallow</t>
  </si>
  <si>
    <t xml:space="preserve">Q11</t>
  </si>
  <si>
    <t xml:space="preserve">ALL</t>
  </si>
  <si>
    <t xml:space="preserve">Funding</t>
  </si>
  <si>
    <t xml:space="preserve">Will a second tranche follow the first-quarter review?</t>
  </si>
  <si>
    <t xml:space="preserve">Wave 2 depends on it. Total envelope is not defined.</t>
  </si>
  <si>
    <t xml:space="preserve">Dana Whitcombe</t>
  </si>
  <si>
    <t xml:space="preserve">Savings case and payback</t>
  </si>
  <si>
    <t xml:space="preserve">Yellow cells are the inputs still owed. Everything else calculates.</t>
  </si>
  <si>
    <t xml:space="preserve">Payback model</t>
  </si>
  <si>
    <t xml:space="preserve">Build cost (USD)</t>
  </si>
  <si>
    <t xml:space="preserve">Current annual run cost (USD)</t>
  </si>
  <si>
    <t xml:space="preserve">Expected annual saving (USD)</t>
  </si>
  <si>
    <t xml:space="preserve">Saving %</t>
  </si>
  <si>
    <t xml:space="preserve">Payback (months)</t>
  </si>
  <si>
    <t xml:space="preserve">Evidence position</t>
  </si>
  <si>
    <t xml:space="preserve">Current 9,400 a month falls to 3,900. 5,500 x 12 = 66,000.</t>
  </si>
  <si>
    <t xml:space="preserve">Conservative end of 1,000 to 4,500 a month. The vendor's 45% claim is not used.</t>
  </si>
  <si>
    <t xml:space="preserve">No baseline. No saving is claimed.</t>
  </si>
  <si>
    <t xml:space="preserve">Columns D and E are the only inputs. An initiative that is a pure enabler should show zero expected saving and be argued on the grounds that it makes the other rows provable.</t>
  </si>
  <si>
    <t xml:space="preserve">Decision log</t>
  </si>
  <si>
    <t xml:space="preserve">What the forum decided, on what conditions, and who answers for it</t>
  </si>
  <si>
    <t xml:space="preserve">Decisions</t>
  </si>
  <si>
    <t xml:space="preserve">Ref</t>
  </si>
  <si>
    <t xml:space="preserve">Decision</t>
  </si>
  <si>
    <t xml:space="preserve">Conditions and rationale</t>
  </si>
  <si>
    <t xml:space="preserve">Decided by (named)</t>
  </si>
  <si>
    <t xml:space="preserve">Date</t>
  </si>
  <si>
    <t xml:space="preserve">Reference (ADR or minutes)</t>
  </si>
  <si>
    <t xml:space="preserve">D01</t>
  </si>
  <si>
    <t xml:space="preserve">Approved with conditions</t>
  </si>
  <si>
    <t xml:space="preserve">Name the shared-service tag owner before enforcement. Subject to board approval of the first tranche on 2026-03-24.</t>
  </si>
  <si>
    <t xml:space="preserve">2026-03-09</t>
  </si>
  <si>
    <t xml:space="preserve">TEST SCENARIO recommendation, not a real decision</t>
  </si>
  <si>
    <t xml:space="preserve">D02</t>
  </si>
  <si>
    <t xml:space="preserve">Agree warehouse cutover window and retention period before cutover is scheduled.</t>
  </si>
  <si>
    <t xml:space="preserve">D03</t>
  </si>
  <si>
    <t xml:space="preserve">Deferred</t>
  </si>
  <si>
    <t xml:space="preserve">Decide after the 2026-06-01 review and before the 2026-09-16 notice date; agree ingest volume.</t>
  </si>
  <si>
    <t xml:space="preserve">D04</t>
  </si>
  <si>
    <t xml:space="preserve">Held</t>
  </si>
  <si>
    <t xml:space="preserve">Requires a design that meets SEC-07, an evidenced cost baseline and a resourcing plan.</t>
  </si>
  <si>
    <t xml:space="preserve">D05</t>
  </si>
  <si>
    <t xml:space="preserve">No business case or estimate.</t>
  </si>
  <si>
    <t xml:space="preserve">Decisions: Approved, Approved with conditions, Deferred, Held, Rejected. A deferred or held initiative states what would change the decision. The scores recommend; this sheet records what was decided.</t>
  </si>
  <si>
    <t xml:space="preserve">P1.  Cloud cost visibility and tagging</t>
  </si>
  <si>
    <t xml:space="preserve">Enterprise Architecture Impact Matrix</t>
  </si>
  <si>
    <t xml:space="preserve">1.  Project profile</t>
  </si>
  <si>
    <t xml:space="preserve">Project ID</t>
  </si>
  <si>
    <t xml:space="preserve">Project name</t>
  </si>
  <si>
    <t xml:space="preserve">Cloud cost visibility and tagging</t>
  </si>
  <si>
    <t xml:space="preserve">Pulled by '02 Portfolio Summary'. Keep it in this cell.</t>
  </si>
  <si>
    <t xml:space="preserve">Business sponsor</t>
  </si>
  <si>
    <t xml:space="preserve">Priya Narang, Head of Infrastructure</t>
  </si>
  <si>
    <t xml:space="preserve">Named individual required before EA approval.</t>
  </si>
  <si>
    <t xml:space="preserve">Architecture owner</t>
  </si>
  <si>
    <t xml:space="preserve">R. Alder, Solutions Architect</t>
  </si>
  <si>
    <t xml:space="preserve">Delivery owner</t>
  </si>
  <si>
    <t xml:space="preserve">K. Dunmore, Delivery Lead</t>
  </si>
  <si>
    <t xml:space="preserve">ESTIMATE-P1. Line items sum to 48,000.</t>
  </si>
  <si>
    <t xml:space="preserve">Estimated duration (months)</t>
  </si>
  <si>
    <t xml:space="preserve">2 months, April to May 2026. R. Alder 120 hours.</t>
  </si>
  <si>
    <t xml:space="preserve">Hard external deadline</t>
  </si>
  <si>
    <t xml:space="preserve">None. It is an enabler for P2, P3 and P4 savings claims.</t>
  </si>
  <si>
    <t xml:space="preserve">Current status</t>
  </si>
  <si>
    <t xml:space="preserve">Proposed, awaiting first tranche</t>
  </si>
  <si>
    <t xml:space="preserve">See '03 Sequencing'.</t>
  </si>
  <si>
    <t xml:space="preserve">Basis of estimate</t>
  </si>
  <si>
    <t xml:space="preserve">PROPOSAL-P1, ESTIMATE-P1, TARGET_STATE principle 2.</t>
  </si>
  <si>
    <t xml:space="preserve">Cite the document and slide or section.</t>
  </si>
  <si>
    <t xml:space="preserve">2.  Weighted impact assessment</t>
  </si>
  <si>
    <t xml:space="preserve">Enter 1 to 5 in column B. Anchors are on '01 Scoring Model'. Column C is a link; do not edit it.</t>
  </si>
  <si>
    <t xml:space="preserve">Score (1-5)</t>
  </si>
  <si>
    <t xml:space="preserve">Weighted</t>
  </si>
  <si>
    <t xml:space="preserve">Assessment</t>
  </si>
  <si>
    <t xml:space="preserve">Evidence and basis</t>
  </si>
  <si>
    <t xml:space="preserve">Allocation of spend to a named owner moves from about 60% to 100%. It supports decisions but does not itself change the business outcome.</t>
  </si>
  <si>
    <t xml:space="preserve">PROPOSAL-P1 benefits.</t>
  </si>
  <si>
    <t xml:space="preserve">No saving of its own, but it is the baseline that lets other savings be evidenced and booked. High value as an enabler.</t>
  </si>
  <si>
    <t xml:space="preserve">Finance</t>
  </si>
  <si>
    <t xml:space="preserve">PROPOSAL-P1; COST_BASELINE shows P4 has no baseline.</t>
  </si>
  <si>
    <t xml:space="preserve">No deadline and nothing gets worse monthly if it waits, but P2 and P3 savings cannot be proven until it lands.</t>
  </si>
  <si>
    <t xml:space="preserve">PROPOSAL-P1; ESTIMATE-P1.</t>
  </si>
  <si>
    <t xml:space="preserve">Little risk reduction. Untagged spend is a control weakness, not an incident source.</t>
  </si>
  <si>
    <t xml:space="preserve">INCIDENTS shows no cost-allocation incident.</t>
  </si>
  <si>
    <t xml:space="preserve">Neutral to slightly positive. Security review marked not required.</t>
  </si>
  <si>
    <t xml:space="preserve">SECURITY review status.</t>
  </si>
  <si>
    <t xml:space="preserve">Small, well understood scope, two months, effort fits capacity.</t>
  </si>
  <si>
    <t xml:space="preserve">R. Alder</t>
  </si>
  <si>
    <t xml:space="preserve">ESTIMATE-P1; CAPACITY.</t>
  </si>
  <si>
    <t xml:space="preserve">Implements target-state principle 2 directly.</t>
  </si>
  <si>
    <t xml:space="preserve">TARGET_STATE principle 2.</t>
  </si>
  <si>
    <t xml:space="preserve">Weighted priority score</t>
  </si>
  <si>
    <t xml:space="preserve">Out of 5.00. Compare on '02 Portfolio Summary'.</t>
  </si>
  <si>
    <t xml:space="preserve">3.  Scope</t>
  </si>
  <si>
    <t xml:space="preserve">In scope</t>
  </si>
  <si>
    <t xml:space="preserve">Explicitly out of scope</t>
  </si>
  <si>
    <t xml:space="preserve">Tagging policy and enforcement</t>
  </si>
  <si>
    <t xml:space="preserve">Cost reduction work</t>
  </si>
  <si>
    <t xml:space="preserve">Cost export pipeline</t>
  </si>
  <si>
    <t xml:space="preserve">Chargeback to business units</t>
  </si>
  <si>
    <t xml:space="preserve">Owner dashboards</t>
  </si>
  <si>
    <t xml:space="preserve">Owner training</t>
  </si>
  <si>
    <t xml:space="preserve">4.  Dependencies</t>
  </si>
  <si>
    <t xml:space="preserve">Depends on</t>
  </si>
  <si>
    <t xml:space="preserve">Nature of the dependency</t>
  </si>
  <si>
    <t xml:space="preserve">Criticality</t>
  </si>
  <si>
    <t xml:space="preserve">Internal</t>
  </si>
  <si>
    <t xml:space="preserve">Ownership of shared-service tags</t>
  </si>
  <si>
    <t xml:space="preserve">Shared services have no obvious owner. Needs a decision before enforcement.</t>
  </si>
  <si>
    <t xml:space="preserve">Resource</t>
  </si>
  <si>
    <t xml:space="preserve">Solutions Architect capacity</t>
  </si>
  <si>
    <t xml:space="preserve">120 hours in April and May. Check against P2 in the same months.</t>
  </si>
  <si>
    <t xml:space="preserve">5.  Key risks</t>
  </si>
  <si>
    <t xml:space="preserve">Response (residual score)</t>
  </si>
  <si>
    <t xml:space="preserve">Mitigate (residual 1)</t>
  </si>
  <si>
    <t xml:space="preserve">Likelihood times impact, each 1 to 4 (Low, Medium, High, Critical). Red at 9 or above: needs a named owner and a review date. Optional 6th to 8th items per risk: response, residual likelihood, residual impact.</t>
  </si>
  <si>
    <t xml:space="preserve">6.  Success KPIs</t>
  </si>
  <si>
    <t xml:space="preserve">KPI</t>
  </si>
  <si>
    <t xml:space="preserve">Baseline</t>
  </si>
  <si>
    <t xml:space="preserve">Target</t>
  </si>
  <si>
    <t xml:space="preserve">Measurement source</t>
  </si>
  <si>
    <t xml:space="preserve">Measured by</t>
  </si>
  <si>
    <t xml:space="preserve">Share of cloud spend allocated to a named owner</t>
  </si>
  <si>
    <t xml:space="preserve">About 60%</t>
  </si>
  <si>
    <t xml:space="preserve">100%</t>
  </si>
  <si>
    <t xml:space="preserve">Monthly cost export</t>
  </si>
  <si>
    <t xml:space="preserve">60 days after delivery</t>
  </si>
  <si>
    <t xml:space="preserve">Unowned shared-service spend</t>
  </si>
  <si>
    <t xml:space="preserve">Not measured</t>
  </si>
  <si>
    <t xml:space="preserve">Zero</t>
  </si>
  <si>
    <t xml:space="preserve">7.  EA governance gates</t>
  </si>
  <si>
    <t xml:space="preserve">Gate</t>
  </si>
  <si>
    <t xml:space="preserve">Evidence or artefact</t>
  </si>
  <si>
    <t xml:space="preserve">Reviewer</t>
  </si>
  <si>
    <t xml:space="preserve">Date cleared</t>
  </si>
  <si>
    <t xml:space="preserve">Alignment with a named business capability</t>
  </si>
  <si>
    <t xml:space="preserve">Met</t>
  </si>
  <si>
    <t xml:space="preserve">TARGET_STATE principle 2</t>
  </si>
  <si>
    <t xml:space="preserve">Architecture standards compliance</t>
  </si>
  <si>
    <t xml:space="preserve">Uses native tagging and cost export</t>
  </si>
  <si>
    <t xml:space="preserve">Security review completed</t>
  </si>
  <si>
    <t xml:space="preserve">Not started</t>
  </si>
  <si>
    <t xml:space="preserve">Security review not required per SECURITY</t>
  </si>
  <si>
    <t xml:space="preserve">Operational ownership defined (named team, not a role)</t>
  </si>
  <si>
    <t xml:space="preserve">Partial</t>
  </si>
  <si>
    <t xml:space="preserve">Delivery lead named, run owner for dashboards not named</t>
  </si>
  <si>
    <t xml:space="preserve">Success KPIs agreed with a measured baseline</t>
  </si>
  <si>
    <t xml:space="preserve">Allocation baseline of about 60% stated, source not provided</t>
  </si>
  <si>
    <t xml:space="preserve">Rollback strategy documented and tested</t>
  </si>
  <si>
    <t xml:space="preserve">Not applicable</t>
  </si>
  <si>
    <t xml:space="preserve">No production change to roll back</t>
  </si>
  <si>
    <t xml:space="preserve">Cost model and payback agreed with FinOps</t>
  </si>
  <si>
    <t xml:space="preserve">Cost and run cost in ESTIMATE-P1</t>
  </si>
  <si>
    <t xml:space="preserve">Data, retention and privacy position cleared</t>
  </si>
  <si>
    <t xml:space="preserve">No personal data</t>
  </si>
  <si>
    <t xml:space="preserve">Change and CAB approval path confirmed</t>
  </si>
  <si>
    <t xml:space="preserve">Change path not confirmed</t>
  </si>
  <si>
    <t xml:space="preserve">PMO</t>
  </si>
  <si>
    <t xml:space="preserve">Architecture decision recorded and traceable (ADR or decision log)</t>
  </si>
  <si>
    <t xml:space="preserve">ADR not drafted</t>
  </si>
  <si>
    <t xml:space="preserve">Valid statuses: Met, Partial, Not started, Not met, Not applicable.</t>
  </si>
  <si>
    <t xml:space="preserve">8.  Open questions</t>
  </si>
  <si>
    <t xml:space="preserve">Q1</t>
  </si>
  <si>
    <t xml:space="preserve">Q2</t>
  </si>
  <si>
    <t xml:space="preserve">What is the source of the 60% allocation figure?</t>
  </si>
  <si>
    <t xml:space="preserve">9.  Traceability and benefits</t>
  </si>
  <si>
    <t xml:space="preserve">Business capability or value stream</t>
  </si>
  <si>
    <t xml:space="preserve">Financial management of cloud</t>
  </si>
  <si>
    <t xml:space="preserve">Name the capability this changes. Gate 1 depends on it.</t>
  </si>
  <si>
    <t xml:space="preserve">Architecture principles addressed</t>
  </si>
  <si>
    <t xml:space="preserve">2 Every cloud cost has a named owner</t>
  </si>
  <si>
    <t xml:space="preserve">Optional. The principles this initiative follows or tests.</t>
  </si>
  <si>
    <t xml:space="preserve">Gap closed (baseline to target)</t>
  </si>
  <si>
    <t xml:space="preserve">Baseline: about 60% of spend allocated. Target: 100%.</t>
  </si>
  <si>
    <t xml:space="preserve">One line: where it is today, where it ends up.</t>
  </si>
  <si>
    <t xml:space="preserve">Benefits owner (named)</t>
  </si>
  <si>
    <t xml:space="preserve">The person who answers for the benefit after delivery.</t>
  </si>
  <si>
    <t xml:space="preserve">Benefits review date</t>
  </si>
  <si>
    <t xml:space="preserve">90 days after delivery</t>
  </si>
  <si>
    <t xml:space="preserve">When the KPIs above are checked against the business case.</t>
  </si>
  <si>
    <t xml:space="preserve">Standards references</t>
  </si>
  <si>
    <t xml:space="preserve">TOGAF Phase E/F work package; COBIT APO06</t>
  </si>
  <si>
    <t xml:space="preserve">Optional. TOGAF phase or artefact, COBIT objective IDs.</t>
  </si>
  <si>
    <t xml:space="preserve">P2.  Retire the on-premises file servers</t>
  </si>
  <si>
    <t xml:space="preserve">Retire the on-premises file servers</t>
  </si>
  <si>
    <t xml:space="preserve">ESTIMATE-P2. Line items sum to 96,000.</t>
  </si>
  <si>
    <t xml:space="preserve">4 months, April to July 2026. R. Alder 300 hours.</t>
  </si>
  <si>
    <t xml:space="preserve">2027-01-31: Windows Server 2012 R2 extended support ends; insurer requires remediation by that date.</t>
  </si>
  <si>
    <t xml:space="preserve">PROPOSAL-P2, ESTIMATE-P2, COST_BASELINE, INCIDENTS, CONTRACTS, SECURITY.</t>
  </si>
  <si>
    <t xml:space="preserve">Removes recurring outages and an audit finding. The business outcome is reliability and compliance rather than new capability.</t>
  </si>
  <si>
    <t xml:space="preserve">INCIDENTS: 3 unplanned outages in 6 months.</t>
  </si>
  <si>
    <t xml:space="preserve">Run cost 9,400 a month falls to 3,900 a month: 5,500 a month, about 66,000 a year, backed by the finance export.</t>
  </si>
  <si>
    <t xml:space="preserve">COST_BASELINE (9,400); ESTIMATE-P2 (3,900).</t>
  </si>
  <si>
    <t xml:space="preserve">Hard external date: OS support ends 2027-01-31 and the insurer requires remediation by then. Four months of work leaves margin.</t>
  </si>
  <si>
    <t xml:space="preserve">CONTRACTS; INCIDENTS open audit finding.</t>
  </si>
  <si>
    <t xml:space="preserve">Removes the failing disk array behind three outages and closes the unsupported-OS audit finding.</t>
  </si>
  <si>
    <t xml:space="preserve">INCIDENTS.</t>
  </si>
  <si>
    <t xml:space="preserve">Closes an open audit finding. Security review done with no objections.</t>
  </si>
  <si>
    <t xml:space="preserve">SECURITY review status; INCIDENTS audit finding.</t>
  </si>
  <si>
    <t xml:space="preserve">Pilot on the finance share ran four weeks with no issues. Cutover window for warehouse shares is still open.</t>
  </si>
  <si>
    <t xml:space="preserve">PROPOSAL-P2 summary.</t>
  </si>
  <si>
    <t xml:space="preserve">Retires on-premises hardware, matching the target-state direction and principle 1.</t>
  </si>
  <si>
    <t xml:space="preserve">TARGET_STATE principles 1 and 5.</t>
  </si>
  <si>
    <t xml:space="preserve">Data migration</t>
  </si>
  <si>
    <t xml:space="preserve">Document management system</t>
  </si>
  <si>
    <t xml:space="preserve">Permission mapping</t>
  </si>
  <si>
    <t xml:space="preserve">Desktop client changes</t>
  </si>
  <si>
    <t xml:space="preserve">Parallel run</t>
  </si>
  <si>
    <t xml:space="preserve">Cutover</t>
  </si>
  <si>
    <t xml:space="preserve">Decommission</t>
  </si>
  <si>
    <t xml:space="preserve">P1 Cost visibility</t>
  </si>
  <si>
    <t xml:space="preserve">P1 gives the baseline against which the saving is shown. P2 can proceed without it but the saving is then asserted by finance export only.</t>
  </si>
  <si>
    <t xml:space="preserve">300 hours across April to July, 75 a month.</t>
  </si>
  <si>
    <t xml:space="preserve">Warehouse cutover window</t>
  </si>
  <si>
    <t xml:space="preserve">Not agreed. Needed before cutover is scheduled.</t>
  </si>
  <si>
    <t xml:space="preserve">Mitigate (residual 3)</t>
  </si>
  <si>
    <t xml:space="preserve">Mitigate (residual 4)</t>
  </si>
  <si>
    <t xml:space="preserve">Unplanned file-service outage hours per 6 months</t>
  </si>
  <si>
    <t xml:space="preserve">19 hours (3 outages)</t>
  </si>
  <si>
    <t xml:space="preserve">0</t>
  </si>
  <si>
    <t xml:space="preserve">Incident records</t>
  </si>
  <si>
    <t xml:space="preserve">90 days after cutover</t>
  </si>
  <si>
    <t xml:space="preserve">File service run cost per month</t>
  </si>
  <si>
    <t xml:space="preserve">9,400</t>
  </si>
  <si>
    <t xml:space="preserve">3,900</t>
  </si>
  <si>
    <t xml:space="preserve">Finance cost export</t>
  </si>
  <si>
    <t xml:space="preserve">60 days after decommission</t>
  </si>
  <si>
    <t xml:space="preserve">Open audit finding on unsupported OS</t>
  </si>
  <si>
    <t xml:space="preserve">Closed</t>
  </si>
  <si>
    <t xml:space="preserve">Audit register</t>
  </si>
  <si>
    <t xml:space="preserve">Before 2027-01-31</t>
  </si>
  <si>
    <t xml:space="preserve">Enterprise file and content services</t>
  </si>
  <si>
    <t xml:space="preserve">Managed service per principle 1</t>
  </si>
  <si>
    <t xml:space="preserve">Review done, no objections</t>
  </si>
  <si>
    <t xml:space="preserve">Delivery lead named, run owner after handover not named</t>
  </si>
  <si>
    <t xml:space="preserve">Outage hours and run cost baselines in INCIDENTS and COST_BASELINE</t>
  </si>
  <si>
    <t xml:space="preserve">Old shares retained after cutover, retention period not agreed</t>
  </si>
  <si>
    <t xml:space="preserve">Cost, run cost and saving agreed with finance export</t>
  </si>
  <si>
    <t xml:space="preserve">Permission mapping covers access, retention of file data not confirmed</t>
  </si>
  <si>
    <t xml:space="preserve">Cutover change window not agreed</t>
  </si>
  <si>
    <t xml:space="preserve">How long must old shares be retained after cutover?</t>
  </si>
  <si>
    <t xml:space="preserve">1 Prefer managed services; 5 Close audit findings first</t>
  </si>
  <si>
    <t xml:space="preserve">Baseline: six on-premises servers on an unsupported OS. Target: managed storage, hardware retired.</t>
  </si>
  <si>
    <t xml:space="preserve">90 days after decommission</t>
  </si>
  <si>
    <t xml:space="preserve">TOGAF Phase E/F work package; COBIT APO12, BAI02</t>
  </si>
  <si>
    <t xml:space="preserve">P3.  Consolidate three monitoring tools</t>
  </si>
  <si>
    <t xml:space="preserve">Consolidate three monitoring tools</t>
  </si>
  <si>
    <t xml:space="preserve">ESTIMATE-P3. Line items sum to 72,000. Run cost after delivery varies with ingest.</t>
  </si>
  <si>
    <t xml:space="preserve">3 months, August to October 2026. R. Alder 120 hours.</t>
  </si>
  <si>
    <t xml:space="preserve">2026-09-16: notice date for tool C, which renews 2026-12-15 for 12 months at 2,700 a month.</t>
  </si>
  <si>
    <t xml:space="preserve">Proposed, awaiting second tranche</t>
  </si>
  <si>
    <t xml:space="preserve">PROPOSAL-P3, ESTIMATE-P3, COST_BASELINE, INCIDENTS, CONTRACTS.</t>
  </si>
  <si>
    <t xml:space="preserve">One alerting path replaces three. Two missed alerts in six months show the cost of splitting them.</t>
  </si>
  <si>
    <t xml:space="preserve">INCIDENTS: two delayed responses.</t>
  </si>
  <si>
    <t xml:space="preserve">Current spend 10,000 a month. After delivery 5,500 to 9,000 a month depending on ingest, so the saving is 1,000 to 4,500 a month, 12,000 to 54,000 a year. The vendor's 45% is the top of a range and is not used. Consumption billing and volume from P1 and P4 are not in the estimate.</t>
  </si>
  <si>
    <t xml:space="preserve">COST_BASELINE; ESTIMATE-P3; PROPOSAL-P3.</t>
  </si>
  <si>
    <t xml:space="preserve">Soft deadline: notice for tool C is due 2026-09-16 and the project ends in October, so renewal is likely unless the decision is made earlier.</t>
  </si>
  <si>
    <t xml:space="preserve">CONTRACTS.</t>
  </si>
  <si>
    <t xml:space="preserve">Fixes the missed-alert pattern but not the root cause of outages.</t>
  </si>
  <si>
    <t xml:space="preserve">Neutral. Security review not started.</t>
  </si>
  <si>
    <t xml:space="preserve">Moderate: new platform and billing model, R. Alder committed in the same months as P4 if P4 proceeds.</t>
  </si>
  <si>
    <t xml:space="preserve">ESTIMATE-P3; CAPACITY.</t>
  </si>
  <si>
    <t xml:space="preserve">Implements target-state principle 3 and one observability platform.</t>
  </si>
  <si>
    <t xml:space="preserve">TARGET_STATE principle 3.</t>
  </si>
  <si>
    <t xml:space="preserve">Platform onboarding</t>
  </si>
  <si>
    <t xml:space="preserve">Application performance tracing</t>
  </si>
  <si>
    <t xml:space="preserve">Agent rollout</t>
  </si>
  <si>
    <t xml:space="preserve">Log retention redesign</t>
  </si>
  <si>
    <t xml:space="preserve">Alert migration</t>
  </si>
  <si>
    <t xml:space="preserve">Training</t>
  </si>
  <si>
    <t xml:space="preserve">Ingest cost per team cannot be controlled without tagging.</t>
  </si>
  <si>
    <t xml:space="preserve">Tool C renewal</t>
  </si>
  <si>
    <t xml:space="preserve">Notice due 2026-09-16 for the 2026-12-15 renewal.</t>
  </si>
  <si>
    <t xml:space="preserve">120 hours in August to October.</t>
  </si>
  <si>
    <t xml:space="preserve">Mitigate (residual 2)</t>
  </si>
  <si>
    <t xml:space="preserve">Missed or one-tool-only alerts per 6 months</t>
  </si>
  <si>
    <t xml:space="preserve">2 incidents</t>
  </si>
  <si>
    <t xml:space="preserve">Monitoring tooling cost per month</t>
  </si>
  <si>
    <t xml:space="preserve">10,000</t>
  </si>
  <si>
    <t xml:space="preserve">Under 9,000</t>
  </si>
  <si>
    <t xml:space="preserve">60 days after cutover</t>
  </si>
  <si>
    <t xml:space="preserve">Ingest volume assumed</t>
  </si>
  <si>
    <t xml:space="preserve">TBC</t>
  </si>
  <si>
    <t xml:space="preserve">Agreed figure</t>
  </si>
  <si>
    <t xml:space="preserve">Platform vendor trial</t>
  </si>
  <si>
    <t xml:space="preserve">Before approval</t>
  </si>
  <si>
    <t xml:space="preserve">Observability and operations</t>
  </si>
  <si>
    <t xml:space="preserve">One platform per principle 3</t>
  </si>
  <si>
    <t xml:space="preserve">Security review not started</t>
  </si>
  <si>
    <t xml:space="preserve">Run owner after handover not named</t>
  </si>
  <si>
    <t xml:space="preserve">Spend baseline known, ingest volume baseline not</t>
  </si>
  <si>
    <t xml:space="preserve">Old tools kept until parallel run passes</t>
  </si>
  <si>
    <t xml:space="preserve">Range of saving, not a point value; ingest not modelled</t>
  </si>
  <si>
    <t xml:space="preserve">Data content of telemetry not classified</t>
  </si>
  <si>
    <t xml:space="preserve">3 One observability platform</t>
  </si>
  <si>
    <t xml:space="preserve">Baseline: three tools, 10,000 a month. Target: one platform, 5,500 to 9,000 a month.</t>
  </si>
  <si>
    <t xml:space="preserve">TOGAF Phase E/F work package; COBIT APO05, BAI04</t>
  </si>
  <si>
    <t xml:space="preserve">P4.  Containerize order management on self-managed Kubernetes</t>
  </si>
  <si>
    <t xml:space="preserve">Containerize order management on self-managed Kubernetes</t>
  </si>
  <si>
    <t xml:space="preserve">Tomas Ellery, Head of Applications</t>
  </si>
  <si>
    <t xml:space="preserve">L. Hartwell, Delivery Lead</t>
  </si>
  <si>
    <t xml:space="preserve">ESTIMATE-P4 line items sum to 220,000. The proposal deck states 205,000, a 15,000 difference. 220,000 used.</t>
  </si>
  <si>
    <t xml:space="preserve">5 months, June to October 2026. R. Alder 1,100 hours.</t>
  </si>
  <si>
    <t xml:space="preserve">None stated.</t>
  </si>
  <si>
    <t xml:space="preserve">Proposed, not recommended in current form</t>
  </si>
  <si>
    <t xml:space="preserve">PROPOSAL-P4, ESTIMATE-P4, TARGET_STATE, SECURITY, CAPACITY, COST_BASELINE.</t>
  </si>
  <si>
    <t xml:space="preserve">Release lead time 14 to 5 days is a real benefit but unevidenced. The 14-day figure has no source. One rollback in the last six months.</t>
  </si>
  <si>
    <t xml:space="preserve">PROPOSAL-P4; INCIDENTS (one rollback).</t>
  </si>
  <si>
    <t xml:space="preserve">The claimed 30% run cost reduction has no baseline: the order-management platform is not in the finance export and ESTIMATE-P4 states no run cost. No saving can be claimed.</t>
  </si>
  <si>
    <t xml:space="preserve">COST_BASELINE note; ESTIMATE-P4.</t>
  </si>
  <si>
    <t xml:space="preserve">No deadline.</t>
  </si>
  <si>
    <t xml:space="preserve">PROPOSAL-P4.</t>
  </si>
  <si>
    <t xml:space="preserve">Self-managed nodes add patching and cluster failure exposure. No incident history to remove.</t>
  </si>
  <si>
    <t xml:space="preserve">PROPOSAL-P4 design notes.</t>
  </si>
  <si>
    <t xml:space="preserve">Keys stored on nodes break SEC-07 and the managed-identity principle. Node patching moves from the provider to the platform team. Security review not started. Scored 1 until a design that meets SEC-07 exists.</t>
  </si>
  <si>
    <t xml:space="preserve">SECURITY SEC-07; PROPOSAL-P4 design notes.</t>
  </si>
  <si>
    <t xml:space="preserve">R. Alder is estimated at 1,100 hours over 5 months against 160 productive hours a month (800 available), and the team has not run a production cluster.</t>
  </si>
  <si>
    <t xml:space="preserve">ESTIMATE-P4; CAPACITY; PROPOSAL-P4 risks.</t>
  </si>
  <si>
    <t xml:space="preserve">Contradicts principle 1 (managed over self-managed) and direction to managed platform services.</t>
  </si>
  <si>
    <t xml:space="preserve">TARGET_STATE principle 1 and direction.</t>
  </si>
  <si>
    <t xml:space="preserve">Cluster build</t>
  </si>
  <si>
    <t xml:space="preserve">Database tier</t>
  </si>
  <si>
    <t xml:space="preserve">Application refactor</t>
  </si>
  <si>
    <t xml:space="preserve">Customer web front end</t>
  </si>
  <si>
    <t xml:space="preserve">Migration</t>
  </si>
  <si>
    <t xml:space="preserve">Training and handover</t>
  </si>
  <si>
    <t xml:space="preserve">No baseline exists for order-management run cost. P1 would produce it.</t>
  </si>
  <si>
    <t xml:space="preserve">P3 observability platform</t>
  </si>
  <si>
    <t xml:space="preserve">Cluster telemetry would add ingest volume to a consumption-billed platform not in P3's estimate.</t>
  </si>
  <si>
    <t xml:space="preserve">1,100 hours is more than available in the period and collides with P2 and P3.</t>
  </si>
  <si>
    <t xml:space="preserve">Mitigate (residual 6)</t>
  </si>
  <si>
    <t xml:space="preserve">Order-management run cost per month</t>
  </si>
  <si>
    <t xml:space="preserve">TBC, not in finance export</t>
  </si>
  <si>
    <t xml:space="preserve">Evidenced reduction</t>
  </si>
  <si>
    <t xml:space="preserve">Release lead time</t>
  </si>
  <si>
    <t xml:space="preserve">14 days (unsourced)</t>
  </si>
  <si>
    <t xml:space="preserve">5 days</t>
  </si>
  <si>
    <t xml:space="preserve">Deployment records</t>
  </si>
  <si>
    <t xml:space="preserve">Order management</t>
  </si>
  <si>
    <t xml:space="preserve">Not met</t>
  </si>
  <si>
    <t xml:space="preserve">Contradicts principle 1 and SEC-07</t>
  </si>
  <si>
    <t xml:space="preserve">Run team after handover not agreed</t>
  </si>
  <si>
    <t xml:space="preserve">No cost baseline</t>
  </si>
  <si>
    <t xml:space="preserve">Rollback not documented</t>
  </si>
  <si>
    <t xml:space="preserve">Total in deck differs from line items by 15,000; run cost not stated</t>
  </si>
  <si>
    <t xml:space="preserve">Data position not reviewed</t>
  </si>
  <si>
    <t xml:space="preserve">Why does the deck total (205,000) differ from the line items (220,000)?</t>
  </si>
  <si>
    <t xml:space="preserve">Q3</t>
  </si>
  <si>
    <t xml:space="preserve">How will the design meet SEC-07?</t>
  </si>
  <si>
    <t xml:space="preserve">Q4</t>
  </si>
  <si>
    <t xml:space="preserve">Tests principles 1 and 4; breaches both</t>
  </si>
  <si>
    <t xml:space="preserve">Baseline: managed platform service. Target: self-managed cluster. This moves away from the target state.</t>
  </si>
  <si>
    <t xml:space="preserve">Not set</t>
  </si>
  <si>
    <t xml:space="preserve">TOGAF Phase E/F work package; COBIT APO12, APO03</t>
  </si>
  <si>
    <t xml:space="preserve">P5.  Customer portal with an AI assistant</t>
  </si>
  <si>
    <t xml:space="preserve">Customer portal with an AI assistant</t>
  </si>
  <si>
    <t xml:space="preserve">Joss Penhallow, Marketing Director</t>
  </si>
  <si>
    <t xml:space="preserve">None identified.</t>
  </si>
  <si>
    <t xml:space="preserve">Idea, no business case or estimate. Held, not scored.</t>
  </si>
  <si>
    <t xml:space="preserve">PROPOSAL-P5 only.</t>
  </si>
  <si>
    <t xml:space="preserve">What is the business case and expected benefit?</t>
  </si>
  <si>
    <t xml:space="preserve">What is the cost, duration and scope?</t>
  </si>
  <si>
    <t xml:space="preserve">What are the risks, including data and security?</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</si>
</sst>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0.00"/>
    <numFmt numFmtId="169" formatCode="0"/>
    <numFmt numFmtId="170" formatCode="0.0%"/>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808080"/>
      <name val="Arial"/>
      <family val="0"/>
      <charset val="1"/>
    </font>
    <font>
      <b val="true"/>
      <sz val="11"/>
      <color rgb="FFFFFFFF"/>
      <name val="Arial"/>
      <family val="0"/>
      <charset val="1"/>
    </font>
    <font>
      <sz val="10"/>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b val="true"/>
      <sz val="10"/>
      <color rgb="FF008000"/>
      <name val="Arial"/>
      <family val="0"/>
      <charset val="1"/>
    </font>
    <font>
      <b val="true"/>
      <sz val="10"/>
      <color rgb="FF000000"/>
      <name val="Arial"/>
      <family val="0"/>
      <charset val="1"/>
    </font>
    <font>
      <b val="true"/>
      <sz val="10"/>
      <name val="Arial"/>
      <family val="0"/>
      <charset val="1"/>
    </font>
    <font>
      <sz val="10"/>
      <color rgb="FF0000FF"/>
      <name val="Arial"/>
      <family val="0"/>
      <charset val="1"/>
    </font>
    <font>
      <sz val="9"/>
      <color rgb="FF808080"/>
      <name val="Arial"/>
      <family val="0"/>
      <charset val="1"/>
    </font>
    <font>
      <sz val="10"/>
      <color rgb="FF008000"/>
      <name val="Arial"/>
      <family val="0"/>
      <charset val="1"/>
    </font>
    <font>
      <b val="true"/>
      <sz val="11"/>
      <color rgb="FF0000FF"/>
      <name val="Arial"/>
      <family val="0"/>
      <charset val="1"/>
    </font>
    <font>
      <b val="true"/>
      <sz val="12"/>
      <color rgb="FF1F3864"/>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FF2CC"/>
        <bgColor rgb="FFF2F2F2"/>
      </patternFill>
    </fill>
    <fill>
      <patternFill patternType="solid">
        <fgColor rgb="FFC6E0B4"/>
        <bgColor rgb="FFD9E2F3"/>
      </patternFill>
    </fill>
    <fill>
      <patternFill patternType="solid">
        <fgColor rgb="FFF2F2F2"/>
        <bgColor rgb="FFF2F5FA"/>
      </patternFill>
    </fill>
    <fill>
      <patternFill patternType="solid">
        <fgColor rgb="FFF2F5FA"/>
        <bgColor rgb="FFF2F2F2"/>
      </patternFill>
    </fill>
    <fill>
      <patternFill patternType="solid">
        <fgColor rgb="FFD9E2F3"/>
        <bgColor rgb="FFE7E6E6"/>
      </patternFill>
    </fill>
    <fill>
      <patternFill patternType="solid">
        <fgColor rgb="FFF8CBAD"/>
        <bgColor rgb="FFFFE699"/>
      </patternFill>
    </fill>
    <fill>
      <patternFill patternType="solid">
        <fgColor rgb="FFFFE699"/>
        <bgColor rgb="FFFFF2CC"/>
      </patternFill>
    </fill>
    <fill>
      <patternFill patternType="solid">
        <fgColor rgb="FFFFFFFF"/>
        <bgColor rgb="FFF2F5FA"/>
      </patternFill>
    </fill>
    <fill>
      <patternFill patternType="solid">
        <fgColor rgb="FFE7E6E6"/>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7"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5" fontId="7" fillId="7"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9" fontId="12"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9" fontId="16" fillId="0"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6" fontId="16" fillId="7" borderId="1" xfId="0" applyFont="true" applyBorder="true" applyAlignment="true" applyProtection="false">
      <alignment horizontal="center" vertical="center" textRotation="0" wrapText="false" indent="0" shrinkToFit="false"/>
      <protection locked="true" hidden="false"/>
    </xf>
    <xf numFmtId="167" fontId="16" fillId="7" borderId="1" xfId="0" applyFont="true" applyBorder="true" applyAlignment="true" applyProtection="false">
      <alignment horizontal="center" vertical="center" textRotation="0" wrapText="false" indent="0" shrinkToFit="false"/>
      <protection locked="true" hidden="false"/>
    </xf>
    <xf numFmtId="168" fontId="11" fillId="7" borderId="1" xfId="0" applyFont="true" applyBorder="true" applyAlignment="true" applyProtection="false">
      <alignment horizontal="center" vertical="center" textRotation="0" wrapText="false" indent="0" shrinkToFit="false"/>
      <protection locked="true" hidden="false"/>
    </xf>
    <xf numFmtId="169" fontId="12" fillId="7" borderId="1" xfId="0" applyFont="true" applyBorder="true" applyAlignment="true" applyProtection="false">
      <alignment horizontal="center" vertical="center" textRotation="0" wrapText="false" indent="0" shrinkToFit="false"/>
      <protection locked="true" hidden="false"/>
    </xf>
    <xf numFmtId="167" fontId="9" fillId="7" borderId="1" xfId="0" applyFont="true" applyBorder="true" applyAlignment="true" applyProtection="false">
      <alignment horizontal="center" vertical="center" textRotation="0" wrapText="false" indent="0" shrinkToFit="false"/>
      <protection locked="true" hidden="false"/>
    </xf>
    <xf numFmtId="169" fontId="16"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6" fontId="13" fillId="8" borderId="1" xfId="0" applyFont="true" applyBorder="true" applyAlignment="true" applyProtection="false">
      <alignment horizontal="center"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8" fontId="13" fillId="8"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general" vertical="center" textRotation="0" wrapText="false" indent="0" shrinkToFit="false"/>
      <protection locked="true" hidden="false"/>
    </xf>
    <xf numFmtId="170" fontId="7" fillId="7" borderId="1" xfId="0" applyFont="true" applyBorder="true" applyAlignment="true" applyProtection="false">
      <alignment horizontal="center" vertical="center" textRotation="0" wrapText="false" indent="0" shrinkToFit="false"/>
      <protection locked="true" hidden="false"/>
    </xf>
    <xf numFmtId="167" fontId="13" fillId="7" borderId="1" xfId="0" applyFont="true" applyBorder="true" applyAlignment="true" applyProtection="false">
      <alignment horizontal="center" vertical="center" textRotation="0" wrapText="false" indent="0" shrinkToFit="false"/>
      <protection locked="true" hidden="false"/>
    </xf>
    <xf numFmtId="170" fontId="13" fillId="8" borderId="1" xfId="0" applyFont="true" applyBorder="true" applyAlignment="true" applyProtection="false">
      <alignment horizontal="center" vertical="bottom" textRotation="0" wrapText="false" indent="0" shrinkToFit="false"/>
      <protection locked="true" hidden="false"/>
    </xf>
    <xf numFmtId="167" fontId="13" fillId="8"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5" fontId="16" fillId="7" borderId="1" xfId="0" applyFont="true" applyBorder="true" applyAlignment="true" applyProtection="false">
      <alignment horizontal="center" vertical="center" textRotation="0" wrapText="false" indent="0" shrinkToFit="false"/>
      <protection locked="true" hidden="false"/>
    </xf>
    <xf numFmtId="168" fontId="7" fillId="7" borderId="1" xfId="0" applyFont="true" applyBorder="true" applyAlignment="true" applyProtection="false">
      <alignment horizontal="center" vertical="center" textRotation="0" wrapText="false" indent="0" shrinkToFit="false"/>
      <protection locked="true" hidden="false"/>
    </xf>
    <xf numFmtId="168" fontId="18" fillId="8"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E7E6E6"/>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2"/>
    <col collapsed="false" customWidth="true" hidden="false" outlineLevel="0" max="4" min="3" style="0" width="22"/>
  </cols>
  <sheetData>
    <row r="1" customFormat="false" ht="21.75" hidden="false" customHeight="true" outlineLevel="0" collapsed="false">
      <c r="A1" s="1" t="s">
        <v>0</v>
      </c>
      <c r="B1" s="1"/>
      <c r="C1" s="1"/>
      <c r="D1" s="1"/>
    </row>
    <row r="2" customFormat="false" ht="15" hidden="false" customHeight="false" outlineLevel="0" collapsed="false">
      <c r="A2" s="2" t="s">
        <v>1</v>
      </c>
      <c r="B2" s="2"/>
      <c r="C2" s="2"/>
      <c r="D2" s="2"/>
    </row>
    <row r="4" customFormat="false" ht="18" hidden="false" customHeight="true" outlineLevel="0" collapsed="false">
      <c r="A4" s="3" t="s">
        <v>2</v>
      </c>
      <c r="B4" s="4"/>
      <c r="C4" s="4"/>
      <c r="D4" s="4"/>
    </row>
    <row r="5" customFormat="false" ht="30" hidden="false" customHeight="true" outlineLevel="0" collapsed="false">
      <c r="A5" s="5" t="s">
        <v>3</v>
      </c>
      <c r="B5" s="5"/>
      <c r="C5" s="5"/>
      <c r="D5" s="5"/>
    </row>
    <row r="6" customFormat="false" ht="30" hidden="false" customHeight="true" outlineLevel="0" collapsed="false">
      <c r="A6" s="5" t="s">
        <v>4</v>
      </c>
      <c r="B6" s="5"/>
      <c r="C6" s="5"/>
      <c r="D6" s="5"/>
    </row>
    <row r="7" customFormat="false" ht="30" hidden="false" customHeight="true" outlineLevel="0" collapsed="false">
      <c r="A7" s="5" t="s">
        <v>5</v>
      </c>
      <c r="B7" s="5"/>
      <c r="C7" s="5"/>
      <c r="D7" s="5"/>
    </row>
    <row r="9" customFormat="false" ht="18" hidden="false" customHeight="true" outlineLevel="0" collapsed="false">
      <c r="A9" s="3" t="s">
        <v>6</v>
      </c>
      <c r="B9" s="4"/>
      <c r="C9" s="4"/>
      <c r="D9" s="4"/>
    </row>
    <row r="10" customFormat="false" ht="30" hidden="false" customHeight="true" outlineLevel="0" collapsed="false">
      <c r="A10" s="6" t="s">
        <v>7</v>
      </c>
      <c r="B10" s="6" t="s">
        <v>8</v>
      </c>
      <c r="C10" s="6" t="s">
        <v>9</v>
      </c>
      <c r="D10" s="6" t="s">
        <v>10</v>
      </c>
    </row>
    <row r="11" customFormat="false" ht="15" hidden="false" customHeight="false" outlineLevel="0" collapsed="false">
      <c r="A11" s="7" t="s">
        <v>11</v>
      </c>
      <c r="B11" s="7" t="s">
        <v>12</v>
      </c>
      <c r="C11" s="7" t="s">
        <v>13</v>
      </c>
      <c r="D11" s="7" t="s">
        <v>14</v>
      </c>
    </row>
    <row r="12" customFormat="false" ht="15" hidden="false" customHeight="false" outlineLevel="0" collapsed="false">
      <c r="A12" s="7" t="s">
        <v>15</v>
      </c>
      <c r="B12" s="7" t="s">
        <v>16</v>
      </c>
      <c r="C12" s="7" t="s">
        <v>13</v>
      </c>
      <c r="D12" s="7" t="s">
        <v>17</v>
      </c>
    </row>
    <row r="13" customFormat="false" ht="15" hidden="false" customHeight="false" outlineLevel="0" collapsed="false">
      <c r="A13" s="7" t="s">
        <v>18</v>
      </c>
      <c r="B13" s="7" t="s">
        <v>19</v>
      </c>
      <c r="C13" s="7" t="s">
        <v>20</v>
      </c>
      <c r="D13" s="7" t="s">
        <v>14</v>
      </c>
    </row>
    <row r="14" customFormat="false" ht="15" hidden="false" customHeight="false" outlineLevel="0" collapsed="false">
      <c r="A14" s="7" t="s">
        <v>21</v>
      </c>
      <c r="B14" s="7" t="s">
        <v>22</v>
      </c>
      <c r="C14" s="7" t="s">
        <v>13</v>
      </c>
      <c r="D14" s="7" t="s">
        <v>23</v>
      </c>
    </row>
    <row r="15" customFormat="false" ht="15" hidden="false" customHeight="false" outlineLevel="0" collapsed="false">
      <c r="A15" s="7" t="s">
        <v>24</v>
      </c>
      <c r="B15" s="7" t="s">
        <v>25</v>
      </c>
      <c r="C15" s="7" t="s">
        <v>26</v>
      </c>
      <c r="D15" s="7" t="s">
        <v>27</v>
      </c>
    </row>
    <row r="16" customFormat="false" ht="15" hidden="false" customHeight="false" outlineLevel="0" collapsed="false">
      <c r="A16" s="7" t="s">
        <v>28</v>
      </c>
      <c r="B16" s="7" t="s">
        <v>29</v>
      </c>
      <c r="C16" s="7" t="s">
        <v>30</v>
      </c>
      <c r="D16" s="7" t="s">
        <v>31</v>
      </c>
    </row>
    <row r="17" customFormat="false" ht="15" hidden="false" customHeight="false" outlineLevel="0" collapsed="false">
      <c r="A17" s="7" t="s">
        <v>32</v>
      </c>
      <c r="B17" s="7" t="s">
        <v>33</v>
      </c>
      <c r="C17" s="7" t="s">
        <v>20</v>
      </c>
      <c r="D17" s="7" t="s">
        <v>34</v>
      </c>
    </row>
    <row r="18" customFormat="false" ht="15" hidden="false" customHeight="false" outlineLevel="0" collapsed="false">
      <c r="A18" s="7" t="s">
        <v>35</v>
      </c>
      <c r="B18" s="7" t="s">
        <v>36</v>
      </c>
      <c r="C18" s="7" t="s">
        <v>37</v>
      </c>
      <c r="D18" s="7" t="s">
        <v>38</v>
      </c>
    </row>
    <row r="20" customFormat="false" ht="18" hidden="false" customHeight="true" outlineLevel="0" collapsed="false">
      <c r="A20" s="3" t="s">
        <v>39</v>
      </c>
      <c r="B20" s="4"/>
      <c r="C20" s="4"/>
      <c r="D20" s="4"/>
    </row>
    <row r="21" customFormat="false" ht="15" hidden="false" customHeight="false" outlineLevel="0" collapsed="false">
      <c r="A21" s="8" t="s">
        <v>40</v>
      </c>
      <c r="B21" s="9" t="s">
        <v>41</v>
      </c>
    </row>
    <row r="22" customFormat="false" ht="15" hidden="false" customHeight="false" outlineLevel="0" collapsed="false">
      <c r="A22" s="10" t="s">
        <v>42</v>
      </c>
      <c r="B22" s="9" t="s">
        <v>43</v>
      </c>
    </row>
    <row r="23" customFormat="false" ht="15" hidden="false" customHeight="false" outlineLevel="0" collapsed="false">
      <c r="A23" s="11" t="s">
        <v>44</v>
      </c>
      <c r="B23" s="9" t="s">
        <v>45</v>
      </c>
    </row>
    <row r="24" customFormat="false" ht="15" hidden="false" customHeight="false" outlineLevel="0" collapsed="false">
      <c r="A24" s="12" t="s">
        <v>46</v>
      </c>
      <c r="B24" s="9" t="s">
        <v>47</v>
      </c>
    </row>
    <row r="26" customFormat="false" ht="18" hidden="false" customHeight="true" outlineLevel="0" collapsed="false">
      <c r="A26" s="3" t="s">
        <v>48</v>
      </c>
      <c r="B26" s="4"/>
      <c r="C26" s="4"/>
      <c r="D26" s="4"/>
    </row>
    <row r="27" customFormat="false" ht="27.75" hidden="false" customHeight="true" outlineLevel="0" collapsed="false">
      <c r="A27" s="5" t="s">
        <v>49</v>
      </c>
      <c r="B27" s="5"/>
      <c r="C27" s="5"/>
      <c r="D27" s="5"/>
    </row>
    <row r="28" customFormat="false" ht="27.75" hidden="false" customHeight="true" outlineLevel="0" collapsed="false">
      <c r="A28" s="5" t="s">
        <v>50</v>
      </c>
      <c r="B28" s="5"/>
      <c r="C28" s="5"/>
      <c r="D28" s="5"/>
    </row>
    <row r="29" customFormat="false" ht="27.75" hidden="false" customHeight="true" outlineLevel="0" collapsed="false">
      <c r="A29" s="5" t="s">
        <v>51</v>
      </c>
      <c r="B29" s="5"/>
      <c r="C29" s="5"/>
      <c r="D29" s="5"/>
    </row>
    <row r="30" customFormat="false" ht="27.75" hidden="false" customHeight="true" outlineLevel="0" collapsed="false">
      <c r="A30" s="5" t="s">
        <v>52</v>
      </c>
      <c r="B30" s="5"/>
      <c r="C30" s="5"/>
      <c r="D30" s="5"/>
    </row>
    <row r="31" customFormat="false" ht="27.75" hidden="false" customHeight="true" outlineLevel="0" collapsed="false">
      <c r="A31" s="5" t="s">
        <v>53</v>
      </c>
      <c r="B31" s="5"/>
      <c r="C31" s="5"/>
      <c r="D31" s="5"/>
    </row>
    <row r="32" customFormat="false" ht="27.75" hidden="false" customHeight="true" outlineLevel="0" collapsed="false">
      <c r="A32" s="5" t="s">
        <v>54</v>
      </c>
      <c r="B32" s="5"/>
      <c r="C32" s="5"/>
      <c r="D32" s="5"/>
    </row>
    <row r="34" customFormat="false" ht="18" hidden="false" customHeight="true" outlineLevel="0" collapsed="false">
      <c r="A34" s="3" t="s">
        <v>55</v>
      </c>
      <c r="B34" s="4"/>
      <c r="C34" s="4"/>
      <c r="D34" s="4"/>
    </row>
    <row r="35" customFormat="false" ht="15" hidden="false" customHeight="false" outlineLevel="0" collapsed="false">
      <c r="A35" s="13" t="s">
        <v>56</v>
      </c>
      <c r="B35" s="14" t="s">
        <v>57</v>
      </c>
      <c r="C35" s="15" t="s">
        <v>58</v>
      </c>
    </row>
    <row r="36" customFormat="false" ht="15" hidden="false" customHeight="false" outlineLevel="0" collapsed="false">
      <c r="A36" s="13" t="s">
        <v>59</v>
      </c>
      <c r="B36" s="14" t="s">
        <v>60</v>
      </c>
      <c r="C36" s="15" t="s">
        <v>61</v>
      </c>
    </row>
    <row r="37" customFormat="false" ht="15" hidden="false" customHeight="false" outlineLevel="0" collapsed="false">
      <c r="A37" s="13" t="s">
        <v>62</v>
      </c>
      <c r="B37" s="14" t="s">
        <v>63</v>
      </c>
      <c r="C37" s="15"/>
    </row>
    <row r="38" customFormat="false" ht="15" hidden="false" customHeight="false" outlineLevel="0" collapsed="false">
      <c r="A38" s="13" t="s">
        <v>64</v>
      </c>
      <c r="B38" s="14" t="s">
        <v>65</v>
      </c>
      <c r="C38" s="15" t="s">
        <v>66</v>
      </c>
    </row>
    <row r="39" customFormat="false" ht="15" hidden="false" customHeight="false" outlineLevel="0" collapsed="false">
      <c r="A39" s="13" t="s">
        <v>67</v>
      </c>
      <c r="B39" s="14" t="s">
        <v>68</v>
      </c>
      <c r="C39" s="15" t="s">
        <v>69</v>
      </c>
    </row>
    <row r="40" customFormat="false" ht="15" hidden="false" customHeight="false" outlineLevel="0" collapsed="false">
      <c r="A40" s="15" t="s">
        <v>70</v>
      </c>
    </row>
    <row r="42" customFormat="false" ht="18" hidden="false" customHeight="true" outlineLevel="0" collapsed="false">
      <c r="A42" s="3" t="s">
        <v>71</v>
      </c>
      <c r="B42" s="4"/>
      <c r="C42" s="4"/>
      <c r="D42" s="4"/>
    </row>
    <row r="43" customFormat="false" ht="30" hidden="false" customHeight="true" outlineLevel="0" collapsed="false">
      <c r="A43" s="6" t="s">
        <v>72</v>
      </c>
      <c r="B43" s="6" t="s">
        <v>73</v>
      </c>
      <c r="C43" s="6" t="s">
        <v>74</v>
      </c>
      <c r="D43" s="6" t="s">
        <v>75</v>
      </c>
    </row>
    <row r="44" customFormat="false" ht="43.5" hidden="false" customHeight="true" outlineLevel="0" collapsed="false">
      <c r="A44" s="7" t="s">
        <v>76</v>
      </c>
      <c r="B44" s="7" t="s">
        <v>77</v>
      </c>
      <c r="C44" s="7" t="s">
        <v>78</v>
      </c>
      <c r="D44" s="16" t="s">
        <v>79</v>
      </c>
    </row>
    <row r="45" customFormat="false" ht="43.5" hidden="false" customHeight="true" outlineLevel="0" collapsed="false">
      <c r="A45" s="7" t="s">
        <v>80</v>
      </c>
      <c r="B45" s="7" t="s">
        <v>81</v>
      </c>
      <c r="C45" s="7" t="s">
        <v>78</v>
      </c>
      <c r="D45" s="16" t="s">
        <v>79</v>
      </c>
    </row>
    <row r="46" customFormat="false" ht="43.5" hidden="false" customHeight="true" outlineLevel="0" collapsed="false">
      <c r="A46" s="7" t="s">
        <v>82</v>
      </c>
      <c r="B46" s="7" t="s">
        <v>83</v>
      </c>
      <c r="C46" s="7" t="s">
        <v>84</v>
      </c>
      <c r="D46" s="16" t="s">
        <v>85</v>
      </c>
    </row>
    <row r="47" customFormat="false" ht="43.5" hidden="false" customHeight="true" outlineLevel="0" collapsed="false">
      <c r="A47" s="7" t="s">
        <v>86</v>
      </c>
      <c r="B47" s="7" t="s">
        <v>87</v>
      </c>
      <c r="C47" s="7" t="s">
        <v>84</v>
      </c>
      <c r="D47" s="16" t="s">
        <v>85</v>
      </c>
    </row>
    <row r="48" customFormat="false" ht="43.5" hidden="false" customHeight="true" outlineLevel="0" collapsed="false">
      <c r="A48" s="7" t="s">
        <v>88</v>
      </c>
      <c r="B48" s="7" t="s">
        <v>89</v>
      </c>
      <c r="C48" s="7" t="s">
        <v>84</v>
      </c>
      <c r="D48" s="16" t="s">
        <v>85</v>
      </c>
    </row>
    <row r="49" customFormat="false" ht="43.5" hidden="false" customHeight="true" outlineLevel="0" collapsed="false">
      <c r="A49" s="7" t="s">
        <v>90</v>
      </c>
      <c r="B49" s="7" t="s">
        <v>91</v>
      </c>
      <c r="C49" s="7" t="s">
        <v>92</v>
      </c>
      <c r="D49" s="17" t="s">
        <v>93</v>
      </c>
    </row>
    <row r="50" customFormat="false" ht="43.5" hidden="false" customHeight="true" outlineLevel="0" collapsed="false">
      <c r="A50" s="7" t="s">
        <v>94</v>
      </c>
      <c r="B50" s="7" t="s">
        <v>95</v>
      </c>
      <c r="C50" s="7" t="s">
        <v>96</v>
      </c>
      <c r="D50" s="16" t="s">
        <v>85</v>
      </c>
    </row>
    <row r="51" customFormat="false" ht="43.5" hidden="false" customHeight="true" outlineLevel="0" collapsed="false">
      <c r="A51" s="7" t="s">
        <v>97</v>
      </c>
      <c r="B51" s="7" t="s">
        <v>98</v>
      </c>
      <c r="C51" s="7" t="s">
        <v>92</v>
      </c>
      <c r="D51" s="16" t="s">
        <v>85</v>
      </c>
    </row>
    <row r="52" customFormat="false" ht="43.5" hidden="false" customHeight="true" outlineLevel="0" collapsed="false">
      <c r="A52" s="7" t="s">
        <v>99</v>
      </c>
      <c r="B52" s="7" t="s">
        <v>100</v>
      </c>
      <c r="C52" s="7" t="s">
        <v>101</v>
      </c>
      <c r="D52" s="16" t="s">
        <v>79</v>
      </c>
    </row>
    <row r="53" customFormat="false" ht="43.5" hidden="false" customHeight="true" outlineLevel="0" collapsed="false">
      <c r="A53" s="7" t="s">
        <v>102</v>
      </c>
      <c r="B53" s="7" t="s">
        <v>103</v>
      </c>
      <c r="C53" s="7" t="s">
        <v>92</v>
      </c>
      <c r="D53" s="17" t="s">
        <v>93</v>
      </c>
    </row>
    <row r="54" customFormat="false" ht="43.5" hidden="false" customHeight="true" outlineLevel="0" collapsed="false">
      <c r="A54" s="7" t="s">
        <v>104</v>
      </c>
      <c r="B54" s="7" t="s">
        <v>105</v>
      </c>
      <c r="C54" s="7" t="s">
        <v>92</v>
      </c>
      <c r="D54" s="16" t="s">
        <v>85</v>
      </c>
    </row>
    <row r="55" customFormat="false" ht="43.5" hidden="false" customHeight="true" outlineLevel="0" collapsed="false">
      <c r="A55" s="7" t="s">
        <v>106</v>
      </c>
      <c r="B55" s="7" t="s">
        <v>107</v>
      </c>
      <c r="C55" s="7" t="s">
        <v>92</v>
      </c>
      <c r="D55" s="16" t="s">
        <v>85</v>
      </c>
    </row>
    <row r="56" customFormat="false" ht="43.5" hidden="false" customHeight="true" outlineLevel="0" collapsed="false">
      <c r="A56" s="7" t="s">
        <v>108</v>
      </c>
      <c r="B56" s="7" t="s">
        <v>109</v>
      </c>
      <c r="C56" s="7" t="s">
        <v>110</v>
      </c>
      <c r="D56" s="17" t="s">
        <v>93</v>
      </c>
    </row>
    <row r="58" customFormat="false" ht="18" hidden="false" customHeight="true" outlineLevel="0" collapsed="false">
      <c r="A58" s="3" t="s">
        <v>111</v>
      </c>
      <c r="B58" s="4"/>
      <c r="C58" s="4"/>
      <c r="D58" s="4"/>
    </row>
    <row r="59" customFormat="false" ht="30" hidden="false" customHeight="true" outlineLevel="0" collapsed="false">
      <c r="A59" s="6" t="s">
        <v>112</v>
      </c>
      <c r="B59" s="6" t="s">
        <v>113</v>
      </c>
      <c r="C59" s="6" t="s">
        <v>114</v>
      </c>
      <c r="D59" s="6" t="s">
        <v>115</v>
      </c>
    </row>
    <row r="60" customFormat="false" ht="15" hidden="false" customHeight="false" outlineLevel="0" collapsed="false">
      <c r="A60" s="7" t="s">
        <v>116</v>
      </c>
      <c r="B60" s="7" t="s">
        <v>117</v>
      </c>
      <c r="C60" s="7"/>
      <c r="D60" s="16" t="s">
        <v>85</v>
      </c>
    </row>
    <row r="61" customFormat="false" ht="15" hidden="false" customHeight="false" outlineLevel="0" collapsed="false">
      <c r="A61" s="18" t="s">
        <v>118</v>
      </c>
      <c r="B61" s="18" t="s">
        <v>119</v>
      </c>
      <c r="C61" s="18"/>
      <c r="D61" s="16" t="s">
        <v>85</v>
      </c>
    </row>
    <row r="62" customFormat="false" ht="15" hidden="false" customHeight="false" outlineLevel="0" collapsed="false">
      <c r="A62" s="7" t="s">
        <v>120</v>
      </c>
      <c r="B62" s="7" t="s">
        <v>121</v>
      </c>
      <c r="C62" s="7"/>
      <c r="D62" s="16" t="s">
        <v>85</v>
      </c>
    </row>
    <row r="63" customFormat="false" ht="15" hidden="false" customHeight="false" outlineLevel="0" collapsed="false">
      <c r="A63" s="18" t="s">
        <v>122</v>
      </c>
      <c r="B63" s="18" t="s">
        <v>123</v>
      </c>
      <c r="C63" s="18"/>
      <c r="D63" s="16" t="s">
        <v>85</v>
      </c>
    </row>
    <row r="64" customFormat="false" ht="15" hidden="false" customHeight="false" outlineLevel="0" collapsed="false">
      <c r="A64" s="7" t="s">
        <v>124</v>
      </c>
      <c r="B64" s="7" t="s">
        <v>125</v>
      </c>
      <c r="C64" s="7"/>
      <c r="D64" s="16" t="s">
        <v>85</v>
      </c>
    </row>
    <row r="65" customFormat="false" ht="15" hidden="false" customHeight="false" outlineLevel="0" collapsed="false">
      <c r="A65" s="18" t="s">
        <v>126</v>
      </c>
      <c r="B65" s="18" t="s">
        <v>127</v>
      </c>
      <c r="C65" s="18"/>
      <c r="D65" s="16" t="s">
        <v>85</v>
      </c>
    </row>
    <row r="66" customFormat="false" ht="15" hidden="false" customHeight="false" outlineLevel="0" collapsed="false">
      <c r="A66" s="7" t="s">
        <v>128</v>
      </c>
      <c r="B66" s="7" t="s">
        <v>129</v>
      </c>
      <c r="C66" s="7"/>
      <c r="D66" s="16" t="s">
        <v>85</v>
      </c>
    </row>
    <row r="67" customFormat="false" ht="15" hidden="false" customHeight="false" outlineLevel="0" collapsed="false">
      <c r="A67" s="18" t="s">
        <v>130</v>
      </c>
      <c r="B67" s="18" t="s">
        <v>131</v>
      </c>
      <c r="C67" s="18"/>
      <c r="D67" s="16" t="s">
        <v>85</v>
      </c>
    </row>
    <row r="68" customFormat="false" ht="15" hidden="false" customHeight="false" outlineLevel="0" collapsed="false">
      <c r="A68" s="7" t="s">
        <v>132</v>
      </c>
      <c r="B68" s="7" t="s">
        <v>133</v>
      </c>
      <c r="C68" s="7"/>
      <c r="D68" s="16" t="s">
        <v>85</v>
      </c>
    </row>
    <row r="69" customFormat="false" ht="15" hidden="false" customHeight="false" outlineLevel="0" collapsed="false">
      <c r="A69" s="18" t="s">
        <v>134</v>
      </c>
      <c r="B69" s="18" t="s">
        <v>135</v>
      </c>
      <c r="C69" s="18"/>
      <c r="D69" s="19" t="s">
        <v>136</v>
      </c>
    </row>
    <row r="70" customFormat="false" ht="15" hidden="false" customHeight="false" outlineLevel="0" collapsed="false">
      <c r="A70" s="7" t="s">
        <v>137</v>
      </c>
      <c r="B70" s="7" t="s">
        <v>138</v>
      </c>
      <c r="C70" s="7" t="s">
        <v>139</v>
      </c>
      <c r="D70" s="16" t="s">
        <v>85</v>
      </c>
    </row>
    <row r="71" customFormat="false" ht="15" hidden="false" customHeight="false" outlineLevel="0" collapsed="false">
      <c r="A71" s="18" t="s">
        <v>140</v>
      </c>
      <c r="B71" s="18" t="s">
        <v>141</v>
      </c>
      <c r="C71" s="18" t="s">
        <v>63</v>
      </c>
      <c r="D71" s="16" t="s">
        <v>85</v>
      </c>
    </row>
    <row r="72" customFormat="false" ht="15" hidden="false" customHeight="false" outlineLevel="0" collapsed="false">
      <c r="A72" s="7" t="s">
        <v>142</v>
      </c>
      <c r="B72" s="7" t="s">
        <v>143</v>
      </c>
      <c r="C72" s="7" t="s">
        <v>144</v>
      </c>
      <c r="D72" s="16" t="s">
        <v>85</v>
      </c>
    </row>
    <row r="73" customFormat="false" ht="15" hidden="false" customHeight="false" outlineLevel="0" collapsed="false">
      <c r="A73" s="18" t="s">
        <v>145</v>
      </c>
      <c r="B73" s="18" t="s">
        <v>146</v>
      </c>
      <c r="C73" s="18" t="s">
        <v>147</v>
      </c>
      <c r="D73" s="16" t="s">
        <v>85</v>
      </c>
    </row>
    <row r="74" customFormat="false" ht="15" hidden="false" customHeight="false" outlineLevel="0" collapsed="false">
      <c r="A74" s="7" t="s">
        <v>148</v>
      </c>
      <c r="B74" s="7" t="s">
        <v>149</v>
      </c>
      <c r="C74" s="7" t="s">
        <v>147</v>
      </c>
      <c r="D74" s="16" t="s">
        <v>85</v>
      </c>
    </row>
    <row r="75" customFormat="false" ht="15" hidden="false" customHeight="false" outlineLevel="0" collapsed="false">
      <c r="A75" s="18" t="s">
        <v>150</v>
      </c>
      <c r="B75" s="18" t="s">
        <v>151</v>
      </c>
      <c r="C75" s="18"/>
      <c r="D75" s="19" t="s">
        <v>152</v>
      </c>
    </row>
    <row r="76" customFormat="false" ht="15" hidden="false" customHeight="false" outlineLevel="0" collapsed="false">
      <c r="A76" s="7" t="s">
        <v>153</v>
      </c>
      <c r="B76" s="7" t="s">
        <v>154</v>
      </c>
      <c r="C76" s="7" t="s">
        <v>147</v>
      </c>
      <c r="D76" s="16" t="s">
        <v>85</v>
      </c>
    </row>
    <row r="77" customFormat="false" ht="15" hidden="false" customHeight="false" outlineLevel="0" collapsed="false">
      <c r="A77" s="18" t="s">
        <v>155</v>
      </c>
      <c r="B77" s="18" t="s">
        <v>156</v>
      </c>
      <c r="C77" s="18" t="s">
        <v>157</v>
      </c>
      <c r="D77" s="16" t="s">
        <v>85</v>
      </c>
    </row>
    <row r="78" customFormat="false" ht="15" hidden="false" customHeight="false" outlineLevel="0" collapsed="false">
      <c r="A78" s="7" t="s">
        <v>158</v>
      </c>
      <c r="B78" s="7" t="s">
        <v>159</v>
      </c>
      <c r="C78" s="7"/>
      <c r="D78" s="16" t="s">
        <v>85</v>
      </c>
    </row>
    <row r="79" customFormat="false" ht="15" hidden="false" customHeight="false" outlineLevel="0" collapsed="false">
      <c r="A79" s="18" t="s">
        <v>160</v>
      </c>
      <c r="B79" s="18" t="s">
        <v>161</v>
      </c>
      <c r="C79" s="18"/>
      <c r="D79" s="16" t="s">
        <v>85</v>
      </c>
    </row>
  </sheetData>
  <mergeCells count="11">
    <mergeCell ref="A1:D1"/>
    <mergeCell ref="A2:D2"/>
    <mergeCell ref="A5:D5"/>
    <mergeCell ref="A6:D6"/>
    <mergeCell ref="A7:D7"/>
    <mergeCell ref="A27:D27"/>
    <mergeCell ref="A28:D28"/>
    <mergeCell ref="A29:D29"/>
    <mergeCell ref="A30:D30"/>
    <mergeCell ref="A31:D3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46"/>
    <col collapsed="false" customWidth="true" hidden="false" outlineLevel="0" max="7" min="4" style="0" width="42"/>
  </cols>
  <sheetData>
    <row r="1" customFormat="false" ht="21.75" hidden="false" customHeight="true" outlineLevel="0" collapsed="false">
      <c r="A1" s="1" t="s">
        <v>162</v>
      </c>
      <c r="B1" s="1"/>
      <c r="C1" s="1"/>
      <c r="D1" s="1"/>
      <c r="E1" s="1"/>
      <c r="F1" s="1"/>
      <c r="G1" s="1"/>
    </row>
    <row r="2" customFormat="false" ht="15" hidden="false" customHeight="false" outlineLevel="0" collapsed="false">
      <c r="A2" s="2" t="s">
        <v>163</v>
      </c>
      <c r="B2" s="2"/>
      <c r="C2" s="2"/>
      <c r="D2" s="2"/>
      <c r="E2" s="2"/>
      <c r="F2" s="2"/>
      <c r="G2" s="2"/>
    </row>
    <row r="4" customFormat="false" ht="18" hidden="false" customHeight="true" outlineLevel="0" collapsed="false">
      <c r="A4" s="3" t="s">
        <v>164</v>
      </c>
      <c r="B4" s="4"/>
      <c r="C4" s="4"/>
      <c r="D4" s="4"/>
      <c r="E4" s="4"/>
      <c r="F4" s="4"/>
      <c r="G4" s="4"/>
    </row>
    <row r="5" customFormat="false" ht="30" hidden="false" customHeight="true" outlineLevel="0" collapsed="false">
      <c r="A5" s="6" t="s">
        <v>165</v>
      </c>
      <c r="B5" s="6" t="s">
        <v>166</v>
      </c>
      <c r="C5" s="6" t="s">
        <v>167</v>
      </c>
    </row>
    <row r="6" customFormat="false" ht="27.75" hidden="false" customHeight="true" outlineLevel="0" collapsed="false">
      <c r="A6" s="7" t="s">
        <v>168</v>
      </c>
      <c r="B6" s="20" t="n">
        <v>0.1</v>
      </c>
      <c r="C6" s="7" t="s">
        <v>169</v>
      </c>
    </row>
    <row r="7" customFormat="false" ht="27.75" hidden="false" customHeight="true" outlineLevel="0" collapsed="false">
      <c r="A7" s="18" t="s">
        <v>170</v>
      </c>
      <c r="B7" s="21" t="n">
        <v>0.35</v>
      </c>
      <c r="C7" s="18" t="s">
        <v>171</v>
      </c>
    </row>
    <row r="8" customFormat="false" ht="27.75" hidden="false" customHeight="true" outlineLevel="0" collapsed="false">
      <c r="A8" s="7" t="s">
        <v>172</v>
      </c>
      <c r="B8" s="20" t="n">
        <v>0.15</v>
      </c>
      <c r="C8" s="7" t="s">
        <v>173</v>
      </c>
    </row>
    <row r="9" customFormat="false" ht="27.75" hidden="false" customHeight="true" outlineLevel="0" collapsed="false">
      <c r="A9" s="18" t="s">
        <v>174</v>
      </c>
      <c r="B9" s="21" t="n">
        <v>0.1</v>
      </c>
      <c r="C9" s="18" t="s">
        <v>175</v>
      </c>
    </row>
    <row r="10" customFormat="false" ht="27.75" hidden="false" customHeight="true" outlineLevel="0" collapsed="false">
      <c r="A10" s="7" t="s">
        <v>176</v>
      </c>
      <c r="B10" s="20" t="n">
        <v>0.05</v>
      </c>
      <c r="C10" s="7" t="s">
        <v>177</v>
      </c>
    </row>
    <row r="11" customFormat="false" ht="27.75" hidden="false" customHeight="true" outlineLevel="0" collapsed="false">
      <c r="A11" s="18" t="s">
        <v>178</v>
      </c>
      <c r="B11" s="21" t="n">
        <v>0.15</v>
      </c>
      <c r="C11" s="18" t="s">
        <v>179</v>
      </c>
    </row>
    <row r="12" customFormat="false" ht="27.75" hidden="false" customHeight="true" outlineLevel="0" collapsed="false">
      <c r="A12" s="7" t="s">
        <v>180</v>
      </c>
      <c r="B12" s="20" t="n">
        <v>0.1</v>
      </c>
      <c r="C12" s="7" t="s">
        <v>181</v>
      </c>
    </row>
    <row r="13" customFormat="false" ht="15" hidden="false" customHeight="false" outlineLevel="0" collapsed="false">
      <c r="A13" s="22" t="s">
        <v>182</v>
      </c>
      <c r="B13" s="23" t="n">
        <f aca="false">SUM(B6:B12)</f>
        <v>1</v>
      </c>
      <c r="C13" s="7" t="s">
        <v>183</v>
      </c>
    </row>
    <row r="15" customFormat="false" ht="18" hidden="false" customHeight="true" outlineLevel="0" collapsed="false">
      <c r="A15" s="3" t="s">
        <v>184</v>
      </c>
      <c r="B15" s="4"/>
      <c r="C15" s="4"/>
      <c r="D15" s="4"/>
      <c r="E15" s="4"/>
      <c r="F15" s="4"/>
      <c r="G15" s="4"/>
    </row>
    <row r="16" customFormat="false" ht="30" hidden="false" customHeight="true" outlineLevel="0" collapsed="false">
      <c r="A16" s="6" t="s">
        <v>185</v>
      </c>
      <c r="B16" s="6" t="s">
        <v>168</v>
      </c>
      <c r="C16" s="6" t="s">
        <v>170</v>
      </c>
      <c r="D16" s="6" t="s">
        <v>172</v>
      </c>
      <c r="E16" s="6" t="s">
        <v>174</v>
      </c>
      <c r="F16" s="6" t="s">
        <v>176</v>
      </c>
      <c r="G16" s="6" t="s">
        <v>178</v>
      </c>
      <c r="H16" s="6" t="s">
        <v>180</v>
      </c>
    </row>
    <row r="17" customFormat="false" ht="15" hidden="false" customHeight="false" outlineLevel="0" collapsed="false">
      <c r="A17" s="7" t="s">
        <v>186</v>
      </c>
      <c r="B17" s="24" t="n">
        <v>0.2</v>
      </c>
      <c r="C17" s="24" t="n">
        <v>0.2</v>
      </c>
      <c r="D17" s="24" t="n">
        <v>0.2</v>
      </c>
      <c r="E17" s="24" t="n">
        <v>0.1</v>
      </c>
      <c r="F17" s="24" t="n">
        <v>0.1</v>
      </c>
      <c r="G17" s="24" t="n">
        <v>0.1</v>
      </c>
      <c r="H17" s="24" t="n">
        <v>0.1</v>
      </c>
    </row>
    <row r="18" customFormat="false" ht="15" hidden="false" customHeight="false" outlineLevel="0" collapsed="false">
      <c r="A18" s="18" t="s">
        <v>57</v>
      </c>
      <c r="B18" s="25" t="n">
        <v>0.1</v>
      </c>
      <c r="C18" s="25" t="n">
        <v>0.35</v>
      </c>
      <c r="D18" s="25" t="n">
        <v>0.15</v>
      </c>
      <c r="E18" s="25" t="n">
        <v>0.1</v>
      </c>
      <c r="F18" s="25" t="n">
        <v>0.05</v>
      </c>
      <c r="G18" s="25" t="n">
        <v>0.15</v>
      </c>
      <c r="H18" s="25" t="n">
        <v>0.1</v>
      </c>
    </row>
    <row r="19" customFormat="false" ht="15" hidden="false" customHeight="false" outlineLevel="0" collapsed="false">
      <c r="A19" s="7" t="s">
        <v>187</v>
      </c>
      <c r="B19" s="24" t="n">
        <v>0.1</v>
      </c>
      <c r="C19" s="24" t="n">
        <v>0.1</v>
      </c>
      <c r="D19" s="24" t="n">
        <v>0.35</v>
      </c>
      <c r="E19" s="24" t="n">
        <v>0.2</v>
      </c>
      <c r="F19" s="24" t="n">
        <v>0.05</v>
      </c>
      <c r="G19" s="24" t="n">
        <v>0.1</v>
      </c>
      <c r="H19" s="24" t="n">
        <v>0.1</v>
      </c>
    </row>
    <row r="20" customFormat="false" ht="15" hidden="false" customHeight="false" outlineLevel="0" collapsed="false">
      <c r="A20" s="18" t="s">
        <v>188</v>
      </c>
      <c r="B20" s="25" t="n">
        <v>0.15</v>
      </c>
      <c r="C20" s="25" t="n">
        <v>0.1</v>
      </c>
      <c r="D20" s="25" t="n">
        <v>0.15</v>
      </c>
      <c r="E20" s="25" t="n">
        <v>0.1</v>
      </c>
      <c r="F20" s="25" t="n">
        <v>0.05</v>
      </c>
      <c r="G20" s="25" t="n">
        <v>0.35</v>
      </c>
      <c r="H20" s="25" t="n">
        <v>0.1</v>
      </c>
    </row>
    <row r="21" customFormat="false" ht="15" hidden="false" customHeight="false" outlineLevel="0" collapsed="false">
      <c r="A21" s="7" t="s">
        <v>189</v>
      </c>
      <c r="B21" s="24" t="n">
        <v>0.1</v>
      </c>
      <c r="C21" s="24" t="n">
        <v>0.1</v>
      </c>
      <c r="D21" s="24" t="n">
        <v>0.1</v>
      </c>
      <c r="E21" s="24" t="n">
        <v>0.2</v>
      </c>
      <c r="F21" s="24" t="n">
        <v>0.35</v>
      </c>
      <c r="G21" s="24" t="n">
        <v>0.05</v>
      </c>
      <c r="H21" s="24" t="n">
        <v>0.1</v>
      </c>
    </row>
    <row r="23" customFormat="false" ht="15" hidden="false" customHeight="false" outlineLevel="0" collapsed="false">
      <c r="A23" s="2" t="s">
        <v>190</v>
      </c>
      <c r="B23" s="2"/>
      <c r="C23" s="2"/>
      <c r="D23" s="2"/>
      <c r="E23" s="2"/>
      <c r="F23" s="2"/>
      <c r="G23" s="2"/>
      <c r="H23" s="2"/>
    </row>
    <row r="25" customFormat="false" ht="18" hidden="false" customHeight="true" outlineLevel="0" collapsed="false">
      <c r="A25" s="3" t="s">
        <v>191</v>
      </c>
      <c r="B25" s="4"/>
      <c r="C25" s="4"/>
      <c r="D25" s="4"/>
      <c r="E25" s="4"/>
      <c r="F25" s="4"/>
      <c r="G25" s="4"/>
    </row>
    <row r="26" customFormat="false" ht="30" hidden="false" customHeight="true" outlineLevel="0" collapsed="false">
      <c r="A26" s="6" t="s">
        <v>165</v>
      </c>
      <c r="B26" s="6"/>
      <c r="C26" s="6" t="s">
        <v>192</v>
      </c>
      <c r="D26" s="6" t="s">
        <v>193</v>
      </c>
      <c r="E26" s="6" t="s">
        <v>194</v>
      </c>
      <c r="F26" s="6" t="s">
        <v>195</v>
      </c>
      <c r="G26" s="6" t="s">
        <v>196</v>
      </c>
    </row>
    <row r="27" customFormat="false" ht="45.75" hidden="false" customHeight="true" outlineLevel="0" collapsed="false">
      <c r="A27" s="7" t="s">
        <v>168</v>
      </c>
      <c r="B27" s="7"/>
      <c r="C27" s="7" t="s">
        <v>197</v>
      </c>
      <c r="D27" s="7" t="s">
        <v>198</v>
      </c>
      <c r="E27" s="7" t="s">
        <v>199</v>
      </c>
      <c r="F27" s="7" t="s">
        <v>200</v>
      </c>
      <c r="G27" s="7" t="s">
        <v>201</v>
      </c>
    </row>
    <row r="28" customFormat="false" ht="45.75" hidden="false" customHeight="true" outlineLevel="0" collapsed="false">
      <c r="A28" s="18" t="s">
        <v>170</v>
      </c>
      <c r="B28" s="18"/>
      <c r="C28" s="18" t="s">
        <v>202</v>
      </c>
      <c r="D28" s="18" t="s">
        <v>203</v>
      </c>
      <c r="E28" s="18" t="s">
        <v>204</v>
      </c>
      <c r="F28" s="18" t="s">
        <v>205</v>
      </c>
      <c r="G28" s="18" t="s">
        <v>206</v>
      </c>
    </row>
    <row r="29" customFormat="false" ht="45.75" hidden="false" customHeight="true" outlineLevel="0" collapsed="false">
      <c r="A29" s="7" t="s">
        <v>172</v>
      </c>
      <c r="B29" s="7"/>
      <c r="C29" s="7" t="s">
        <v>207</v>
      </c>
      <c r="D29" s="7" t="s">
        <v>208</v>
      </c>
      <c r="E29" s="7" t="s">
        <v>209</v>
      </c>
      <c r="F29" s="7" t="s">
        <v>210</v>
      </c>
      <c r="G29" s="7" t="s">
        <v>211</v>
      </c>
    </row>
    <row r="30" customFormat="false" ht="45.75" hidden="false" customHeight="true" outlineLevel="0" collapsed="false">
      <c r="A30" s="18" t="s">
        <v>174</v>
      </c>
      <c r="B30" s="18"/>
      <c r="C30" s="18" t="s">
        <v>212</v>
      </c>
      <c r="D30" s="18" t="s">
        <v>213</v>
      </c>
      <c r="E30" s="18" t="s">
        <v>214</v>
      </c>
      <c r="F30" s="18" t="s">
        <v>215</v>
      </c>
      <c r="G30" s="18" t="s">
        <v>216</v>
      </c>
    </row>
    <row r="31" customFormat="false" ht="45.75" hidden="false" customHeight="true" outlineLevel="0" collapsed="false">
      <c r="A31" s="7" t="s">
        <v>176</v>
      </c>
      <c r="B31" s="7"/>
      <c r="C31" s="7" t="s">
        <v>217</v>
      </c>
      <c r="D31" s="7" t="s">
        <v>218</v>
      </c>
      <c r="E31" s="7" t="s">
        <v>219</v>
      </c>
      <c r="F31" s="7" t="s">
        <v>220</v>
      </c>
      <c r="G31" s="7" t="s">
        <v>221</v>
      </c>
    </row>
    <row r="32" customFormat="false" ht="45.75" hidden="false" customHeight="true" outlineLevel="0" collapsed="false">
      <c r="A32" s="18" t="s">
        <v>178</v>
      </c>
      <c r="B32" s="18"/>
      <c r="C32" s="18" t="s">
        <v>222</v>
      </c>
      <c r="D32" s="18" t="s">
        <v>223</v>
      </c>
      <c r="E32" s="18" t="s">
        <v>224</v>
      </c>
      <c r="F32" s="18" t="s">
        <v>225</v>
      </c>
      <c r="G32" s="18" t="s">
        <v>226</v>
      </c>
    </row>
    <row r="33" customFormat="false" ht="45.75" hidden="false" customHeight="true" outlineLevel="0" collapsed="false">
      <c r="A33" s="7" t="s">
        <v>180</v>
      </c>
      <c r="B33" s="7"/>
      <c r="C33" s="7" t="s">
        <v>227</v>
      </c>
      <c r="D33" s="7" t="s">
        <v>228</v>
      </c>
      <c r="E33" s="7" t="s">
        <v>229</v>
      </c>
      <c r="F33" s="7" t="s">
        <v>230</v>
      </c>
      <c r="G33" s="7" t="s">
        <v>231</v>
      </c>
    </row>
  </sheetData>
  <mergeCells count="3">
    <mergeCell ref="A1:G1"/>
    <mergeCell ref="A2:G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15"/>
    <col collapsed="false" customWidth="true" hidden="false" outlineLevel="0" max="4" min="4" style="0" width="12"/>
    <col collapsed="false" customWidth="true" hidden="false" outlineLevel="0" max="5" min="5" style="0" width="15"/>
    <col collapsed="false" customWidth="true" hidden="false" outlineLevel="0" max="6" min="6" style="0" width="8"/>
    <col collapsed="false" customWidth="true" hidden="false" outlineLevel="0" max="7" min="7" style="0" width="16"/>
    <col collapsed="false" customWidth="true" hidden="false" outlineLevel="0" max="10" min="8" style="0" width="13"/>
    <col collapsed="false" customWidth="true" hidden="false" outlineLevel="0" max="11" min="11" style="0" width="26"/>
  </cols>
  <sheetData>
    <row r="1" customFormat="false" ht="21.75" hidden="false" customHeight="true" outlineLevel="0" collapsed="false">
      <c r="A1" s="1" t="s">
        <v>232</v>
      </c>
      <c r="B1" s="1"/>
      <c r="C1" s="1"/>
      <c r="D1" s="1"/>
      <c r="E1" s="1"/>
      <c r="F1" s="1"/>
      <c r="G1" s="1"/>
      <c r="H1" s="1"/>
      <c r="I1" s="1"/>
      <c r="J1" s="1"/>
      <c r="K1" s="1"/>
    </row>
    <row r="2" customFormat="false" ht="15" hidden="false" customHeight="false" outlineLevel="0" collapsed="false">
      <c r="A2" s="2" t="s">
        <v>233</v>
      </c>
      <c r="B2" s="2"/>
      <c r="C2" s="2"/>
      <c r="D2" s="2"/>
      <c r="E2" s="2"/>
      <c r="F2" s="2"/>
      <c r="G2" s="2"/>
      <c r="H2" s="2"/>
      <c r="I2" s="2"/>
      <c r="J2" s="2"/>
      <c r="K2" s="2"/>
    </row>
    <row r="4" customFormat="false" ht="18" hidden="false" customHeight="true" outlineLevel="0" collapsed="false">
      <c r="A4" s="3" t="s">
        <v>234</v>
      </c>
      <c r="B4" s="4"/>
      <c r="C4" s="4"/>
      <c r="D4" s="4"/>
      <c r="E4" s="4"/>
      <c r="F4" s="4"/>
      <c r="G4" s="4"/>
      <c r="H4" s="4"/>
      <c r="I4" s="4"/>
      <c r="J4" s="4"/>
      <c r="K4" s="4"/>
    </row>
    <row r="5" customFormat="false" ht="30" hidden="false" customHeight="true" outlineLevel="0" collapsed="false">
      <c r="A5" s="6" t="s">
        <v>235</v>
      </c>
      <c r="B5" s="6" t="s">
        <v>236</v>
      </c>
      <c r="C5" s="6" t="s">
        <v>237</v>
      </c>
      <c r="D5" s="6" t="s">
        <v>238</v>
      </c>
      <c r="E5" s="6" t="s">
        <v>239</v>
      </c>
      <c r="F5" s="6" t="s">
        <v>240</v>
      </c>
      <c r="G5" s="6" t="s">
        <v>241</v>
      </c>
      <c r="H5" s="6" t="s">
        <v>172</v>
      </c>
      <c r="I5" s="6" t="s">
        <v>178</v>
      </c>
      <c r="J5" s="6" t="s">
        <v>242</v>
      </c>
      <c r="K5" s="6" t="s">
        <v>243</v>
      </c>
    </row>
    <row r="6" customFormat="false" ht="15" hidden="false" customHeight="false" outlineLevel="0" collapsed="false">
      <c r="A6" s="7" t="s">
        <v>244</v>
      </c>
      <c r="B6" s="26" t="str">
        <f aca="false">IF('P1'!B6="","",'P1'!B6)</f>
        <v>Cloud cost visibility and tagging</v>
      </c>
      <c r="C6" s="27" t="n">
        <f aca="false">IF('P1'!B10="","",'P1'!B10)</f>
        <v>48000</v>
      </c>
      <c r="D6" s="28" t="n">
        <f aca="false">IF('P1'!B11="","",'P1'!B11)</f>
        <v>2</v>
      </c>
      <c r="E6" s="29" t="n">
        <f aca="false">'P1'!$D$27</f>
        <v>3.45</v>
      </c>
      <c r="F6" s="30" t="n">
        <f aca="false">IF(E6="","",RANK(E6,$E$6:$E$10))</f>
        <v>2</v>
      </c>
      <c r="G6" s="31" t="n">
        <f aca="false">IFERROR(E6/(C6/100000),"")</f>
        <v>7.1875</v>
      </c>
      <c r="H6" s="32" t="n">
        <f aca="false">IF('P1'!$B$22="","",'P1'!$B$22)</f>
        <v>3</v>
      </c>
      <c r="I6" s="32" t="n">
        <f aca="false">IF('P1'!$B$25="","",'P1'!$B$25)</f>
        <v>4</v>
      </c>
      <c r="J6" s="32" t="n">
        <f aca="false">IF('P1'!$B$21="","",'P1'!$B$21)</f>
        <v>4</v>
      </c>
      <c r="K6" s="26" t="str">
        <f aca="false">IF('P1'!B14="","",'P1'!B14)</f>
        <v>Wave 1</v>
      </c>
    </row>
    <row r="7" customFormat="false" ht="15" hidden="false" customHeight="false" outlineLevel="0" collapsed="false">
      <c r="A7" s="18" t="s">
        <v>245</v>
      </c>
      <c r="B7" s="33" t="str">
        <f aca="false">IF('P2'!B6="","",'P2'!B6)</f>
        <v>Retire the on-premises file servers</v>
      </c>
      <c r="C7" s="34" t="n">
        <f aca="false">IF('P2'!B10="","",'P2'!B10)</f>
        <v>96000</v>
      </c>
      <c r="D7" s="35" t="n">
        <f aca="false">IF('P2'!B11="","",'P2'!B11)</f>
        <v>4</v>
      </c>
      <c r="E7" s="36" t="n">
        <f aca="false">'P2'!$D$27</f>
        <v>4.1</v>
      </c>
      <c r="F7" s="37" t="n">
        <f aca="false">IF(E7="","",RANK(E7,$E$6:$E$10))</f>
        <v>1</v>
      </c>
      <c r="G7" s="38" t="n">
        <f aca="false">IFERROR(E7/(C7/100000),"")</f>
        <v>4.27083333333333</v>
      </c>
      <c r="H7" s="39" t="n">
        <f aca="false">IF('P2'!$B$22="","",'P2'!$B$22)</f>
        <v>5</v>
      </c>
      <c r="I7" s="39" t="n">
        <f aca="false">IF('P2'!$B$25="","",'P2'!$B$25)</f>
        <v>4</v>
      </c>
      <c r="J7" s="39" t="n">
        <f aca="false">IF('P2'!$B$21="","",'P2'!$B$21)</f>
        <v>4</v>
      </c>
      <c r="K7" s="33" t="str">
        <f aca="false">IF('P2'!B14="","",'P2'!B14)</f>
        <v>Wave 1</v>
      </c>
    </row>
    <row r="8" customFormat="false" ht="15" hidden="false" customHeight="false" outlineLevel="0" collapsed="false">
      <c r="A8" s="7" t="s">
        <v>246</v>
      </c>
      <c r="B8" s="26" t="str">
        <f aca="false">IF('P3'!B6="","",'P3'!B6)</f>
        <v>Consolidate three monitoring tools</v>
      </c>
      <c r="C8" s="27" t="n">
        <f aca="false">IF('P3'!B10="","",'P3'!B10)</f>
        <v>72000</v>
      </c>
      <c r="D8" s="28" t="n">
        <f aca="false">IF('P3'!B11="","",'P3'!B11)</f>
        <v>3</v>
      </c>
      <c r="E8" s="29" t="n">
        <f aca="false">'P3'!$D$27</f>
        <v>3.25</v>
      </c>
      <c r="F8" s="30" t="n">
        <f aca="false">IF(E8="","",RANK(E8,$E$6:$E$10))</f>
        <v>3</v>
      </c>
      <c r="G8" s="31" t="n">
        <f aca="false">IFERROR(E8/(C8/100000),"")</f>
        <v>4.51388888888889</v>
      </c>
      <c r="H8" s="32" t="n">
        <f aca="false">IF('P3'!$B$22="","",'P3'!$B$22)</f>
        <v>4</v>
      </c>
      <c r="I8" s="32" t="n">
        <f aca="false">IF('P3'!$B$25="","",'P3'!$B$25)</f>
        <v>3</v>
      </c>
      <c r="J8" s="32" t="n">
        <f aca="false">IF('P3'!$B$21="","",'P3'!$B$21)</f>
        <v>3</v>
      </c>
      <c r="K8" s="26" t="str">
        <f aca="false">IF('P3'!B14="","",'P3'!B14)</f>
        <v>Wave 2</v>
      </c>
    </row>
    <row r="9" customFormat="false" ht="15" hidden="false" customHeight="false" outlineLevel="0" collapsed="false">
      <c r="A9" s="18" t="s">
        <v>247</v>
      </c>
      <c r="B9" s="33" t="str">
        <f aca="false">IF('P4'!B6="","",'P4'!B6)</f>
        <v>Containerize order management on self-managed Kubernetes</v>
      </c>
      <c r="C9" s="34" t="n">
        <f aca="false">IF('P4'!B10="","",'P4'!B10)</f>
        <v>220000</v>
      </c>
      <c r="D9" s="35" t="n">
        <f aca="false">IF('P4'!B11="","",'P4'!B11)</f>
        <v>5</v>
      </c>
      <c r="E9" s="36" t="n">
        <f aca="false">'P4'!$D$27</f>
        <v>1.95</v>
      </c>
      <c r="F9" s="37" t="n">
        <f aca="false">IF(E9="","",RANK(E9,$E$6:$E$10))</f>
        <v>4</v>
      </c>
      <c r="G9" s="38" t="n">
        <f aca="false">IFERROR(E9/(C9/100000),"")</f>
        <v>0.886363636363636</v>
      </c>
      <c r="H9" s="39" t="n">
        <f aca="false">IF('P4'!$B$22="","",'P4'!$B$22)</f>
        <v>2</v>
      </c>
      <c r="I9" s="39" t="n">
        <f aca="false">IF('P4'!$B$25="","",'P4'!$B$25)</f>
        <v>2</v>
      </c>
      <c r="J9" s="39" t="n">
        <f aca="false">IF('P4'!$B$21="","",'P4'!$B$21)</f>
        <v>2</v>
      </c>
      <c r="K9" s="33" t="str">
        <f aca="false">IF('P4'!B14="","",'P4'!B14)</f>
        <v>Hold</v>
      </c>
    </row>
    <row r="10" customFormat="false" ht="15" hidden="false" customHeight="false" outlineLevel="0" collapsed="false">
      <c r="A10" s="7" t="s">
        <v>248</v>
      </c>
      <c r="B10" s="26" t="str">
        <f aca="false">IF('P5'!B6="","",'P5'!B6)</f>
        <v>Customer portal with an AI assistant</v>
      </c>
      <c r="C10" s="27" t="str">
        <f aca="false">IF('P5'!B10="","",'P5'!B10)</f>
        <v/>
      </c>
      <c r="D10" s="28" t="str">
        <f aca="false">IF('P5'!B11="","",'P5'!B11)</f>
        <v/>
      </c>
      <c r="E10" s="29" t="str">
        <f aca="false">'P5'!$D$27</f>
        <v/>
      </c>
      <c r="F10" s="30" t="str">
        <f aca="false">IF(E10="","",RANK(E10,$E$6:$E$10))</f>
        <v/>
      </c>
      <c r="G10" s="31" t="str">
        <f aca="false">IFERROR(E10/(C10/100000),"")</f>
        <v/>
      </c>
      <c r="H10" s="32" t="str">
        <f aca="false">IF('P5'!$B$22="","",'P5'!$B$22)</f>
        <v/>
      </c>
      <c r="I10" s="32" t="str">
        <f aca="false">IF('P5'!$B$25="","",'P5'!$B$25)</f>
        <v/>
      </c>
      <c r="J10" s="32" t="str">
        <f aca="false">IF('P5'!$B$21="","",'P5'!$B$21)</f>
        <v/>
      </c>
      <c r="K10" s="26" t="str">
        <f aca="false">IF('P5'!B14="","",'P5'!B14)</f>
        <v>Hold</v>
      </c>
    </row>
    <row r="11" customFormat="false" ht="15" hidden="false" customHeight="false" outlineLevel="0" collapsed="false">
      <c r="A11" s="40"/>
      <c r="B11" s="40" t="s">
        <v>249</v>
      </c>
      <c r="C11" s="41" t="n">
        <f aca="false">SUM(C6:C10)</f>
        <v>436000</v>
      </c>
      <c r="D11" s="42"/>
      <c r="E11" s="43" t="n">
        <f aca="false">IFERROR(AVERAGE(E6:E10),"")</f>
        <v>3.1875</v>
      </c>
      <c r="F11" s="42"/>
      <c r="G11" s="42"/>
      <c r="H11" s="42"/>
      <c r="I11" s="42"/>
      <c r="J11" s="42"/>
      <c r="K11" s="42"/>
    </row>
    <row r="14" customFormat="false" ht="18" hidden="false" customHeight="true" outlineLevel="0" collapsed="false">
      <c r="A14" s="3" t="s">
        <v>250</v>
      </c>
      <c r="B14" s="4"/>
      <c r="C14" s="4"/>
      <c r="D14" s="4"/>
      <c r="E14" s="4"/>
      <c r="F14" s="4"/>
      <c r="G14" s="4"/>
      <c r="H14" s="4"/>
      <c r="I14" s="4"/>
      <c r="J14" s="4"/>
      <c r="K14" s="4"/>
    </row>
    <row r="15" customFormat="false" ht="30" hidden="false" customHeight="true" outlineLevel="0" collapsed="false">
      <c r="A15" s="5" t="s">
        <v>251</v>
      </c>
      <c r="B15" s="5"/>
      <c r="C15" s="5"/>
      <c r="D15" s="5"/>
      <c r="E15" s="5"/>
      <c r="F15" s="5"/>
      <c r="G15" s="5"/>
      <c r="H15" s="5"/>
      <c r="I15" s="5"/>
      <c r="J15" s="5"/>
      <c r="K15" s="5"/>
    </row>
    <row r="16" customFormat="false" ht="30" hidden="false" customHeight="true" outlineLevel="0" collapsed="false">
      <c r="A16" s="5" t="s">
        <v>252</v>
      </c>
      <c r="B16" s="5"/>
      <c r="C16" s="5"/>
      <c r="D16" s="5"/>
      <c r="E16" s="5"/>
      <c r="F16" s="5"/>
      <c r="G16" s="5"/>
      <c r="H16" s="5"/>
      <c r="I16" s="5"/>
      <c r="J16" s="5"/>
      <c r="K16" s="5"/>
    </row>
    <row r="17" customFormat="false" ht="30" hidden="false" customHeight="true" outlineLevel="0" collapsed="false">
      <c r="A17" s="5" t="s">
        <v>253</v>
      </c>
      <c r="B17" s="5"/>
      <c r="C17" s="5"/>
      <c r="D17" s="5"/>
      <c r="E17" s="5"/>
      <c r="F17" s="5"/>
      <c r="G17" s="5"/>
      <c r="H17" s="5"/>
      <c r="I17" s="5"/>
      <c r="J17" s="5"/>
      <c r="K17" s="5"/>
    </row>
  </sheetData>
  <mergeCells count="5">
    <mergeCell ref="A1:K1"/>
    <mergeCell ref="A2:K2"/>
    <mergeCell ref="A15:K15"/>
    <mergeCell ref="A16:K16"/>
    <mergeCell ref="A17:K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6"/>
    <col collapsed="false" customWidth="true" hidden="false" outlineLevel="0" max="4" min="4" style="0" width="14"/>
    <col collapsed="false" customWidth="true" hidden="false" outlineLevel="0" max="5" min="5" style="0" width="60"/>
    <col collapsed="false" customWidth="true" hidden="false" outlineLevel="0" max="6" min="6" style="0" width="44"/>
  </cols>
  <sheetData>
    <row r="1" customFormat="false" ht="21.75" hidden="false" customHeight="true" outlineLevel="0" collapsed="false">
      <c r="A1" s="1" t="s">
        <v>254</v>
      </c>
      <c r="B1" s="1"/>
      <c r="C1" s="1"/>
      <c r="D1" s="1"/>
      <c r="E1" s="1"/>
      <c r="F1" s="1"/>
    </row>
    <row r="2" customFormat="false" ht="15" hidden="false" customHeight="false" outlineLevel="0" collapsed="false">
      <c r="A2" s="2" t="s">
        <v>255</v>
      </c>
      <c r="B2" s="2"/>
      <c r="C2" s="2"/>
      <c r="D2" s="2"/>
      <c r="E2" s="2"/>
      <c r="F2" s="2"/>
    </row>
    <row r="4" customFormat="false" ht="18" hidden="false" customHeight="true" outlineLevel="0" collapsed="false">
      <c r="A4" s="3" t="s">
        <v>256</v>
      </c>
      <c r="B4" s="4"/>
      <c r="C4" s="4"/>
      <c r="D4" s="4"/>
      <c r="E4" s="4"/>
      <c r="F4" s="4"/>
    </row>
    <row r="5" customFormat="false" ht="30" hidden="false" customHeight="true" outlineLevel="0" collapsed="false">
      <c r="A5" s="6" t="s">
        <v>257</v>
      </c>
      <c r="B5" s="6" t="s">
        <v>258</v>
      </c>
      <c r="C5" s="6" t="s">
        <v>259</v>
      </c>
      <c r="D5" s="6" t="s">
        <v>260</v>
      </c>
      <c r="E5" s="6" t="s">
        <v>261</v>
      </c>
      <c r="F5" s="6" t="s">
        <v>262</v>
      </c>
    </row>
    <row r="6" customFormat="false" ht="60" hidden="false" customHeight="true" outlineLevel="0" collapsed="false">
      <c r="A6" s="7" t="s">
        <v>263</v>
      </c>
      <c r="B6" s="7" t="s">
        <v>264</v>
      </c>
      <c r="C6" s="7" t="s">
        <v>265</v>
      </c>
      <c r="D6" s="44" t="n">
        <v>144000</v>
      </c>
      <c r="E6" s="7" t="s">
        <v>266</v>
      </c>
      <c r="F6" s="7" t="s">
        <v>267</v>
      </c>
    </row>
    <row r="7" customFormat="false" ht="60" hidden="false" customHeight="true" outlineLevel="0" collapsed="false">
      <c r="A7" s="18" t="s">
        <v>268</v>
      </c>
      <c r="B7" s="18" t="s">
        <v>246</v>
      </c>
      <c r="C7" s="18" t="s">
        <v>269</v>
      </c>
      <c r="D7" s="45" t="n">
        <v>72000</v>
      </c>
      <c r="E7" s="18" t="s">
        <v>270</v>
      </c>
      <c r="F7" s="18" t="s">
        <v>271</v>
      </c>
    </row>
    <row r="8" customFormat="false" ht="60" hidden="false" customHeight="true" outlineLevel="0" collapsed="false">
      <c r="A8" s="7" t="s">
        <v>272</v>
      </c>
      <c r="B8" s="7"/>
      <c r="C8" s="7"/>
      <c r="D8" s="44"/>
      <c r="E8" s="7"/>
      <c r="F8" s="7"/>
    </row>
    <row r="9" customFormat="false" ht="60" hidden="false" customHeight="true" outlineLevel="0" collapsed="false">
      <c r="A9" s="18" t="s">
        <v>273</v>
      </c>
      <c r="B9" s="18" t="s">
        <v>274</v>
      </c>
      <c r="C9" s="18" t="s">
        <v>275</v>
      </c>
      <c r="D9" s="45" t="n">
        <v>0</v>
      </c>
      <c r="E9" s="18" t="s">
        <v>276</v>
      </c>
      <c r="F9" s="18" t="s">
        <v>277</v>
      </c>
    </row>
    <row r="10" customFormat="false" ht="15" hidden="false" customHeight="false" outlineLevel="0" collapsed="false">
      <c r="A10" s="22"/>
      <c r="B10" s="22" t="s">
        <v>182</v>
      </c>
      <c r="C10" s="22"/>
      <c r="D10" s="46" t="n">
        <f aca="false">SUM(D6:D9)</f>
        <v>216000</v>
      </c>
    </row>
    <row r="12" customFormat="false" ht="18" hidden="false" customHeight="true" outlineLevel="0" collapsed="false">
      <c r="A12" s="3" t="s">
        <v>278</v>
      </c>
      <c r="B12" s="4"/>
      <c r="C12" s="4"/>
      <c r="D12" s="4"/>
      <c r="E12" s="4"/>
      <c r="F12" s="4"/>
    </row>
    <row r="13" customFormat="false" ht="30" hidden="false" customHeight="true" outlineLevel="0" collapsed="false">
      <c r="A13" s="6" t="s">
        <v>279</v>
      </c>
      <c r="B13" s="6" t="s">
        <v>280</v>
      </c>
      <c r="C13" s="6" t="s">
        <v>281</v>
      </c>
      <c r="D13" s="6" t="s">
        <v>282</v>
      </c>
      <c r="E13" s="6" t="s">
        <v>283</v>
      </c>
      <c r="F13" s="6" t="s">
        <v>284</v>
      </c>
    </row>
    <row r="14" customFormat="false" ht="39.75" hidden="false" customHeight="true" outlineLevel="0" collapsed="false">
      <c r="A14" s="7" t="s">
        <v>244</v>
      </c>
      <c r="B14" s="7" t="s">
        <v>246</v>
      </c>
      <c r="C14" s="7" t="s">
        <v>285</v>
      </c>
      <c r="D14" s="7" t="s">
        <v>286</v>
      </c>
      <c r="E14" s="7" t="s">
        <v>287</v>
      </c>
      <c r="F14" s="7" t="s">
        <v>288</v>
      </c>
    </row>
    <row r="15" customFormat="false" ht="39.75" hidden="false" customHeight="true" outlineLevel="0" collapsed="false">
      <c r="A15" s="18" t="s">
        <v>244</v>
      </c>
      <c r="B15" s="18" t="s">
        <v>247</v>
      </c>
      <c r="C15" s="18" t="s">
        <v>285</v>
      </c>
      <c r="D15" s="18" t="s">
        <v>286</v>
      </c>
      <c r="E15" s="18" t="s">
        <v>289</v>
      </c>
      <c r="F15" s="18" t="s">
        <v>288</v>
      </c>
    </row>
    <row r="16" customFormat="false" ht="39.75" hidden="false" customHeight="true" outlineLevel="0" collapsed="false">
      <c r="A16" s="7" t="s">
        <v>246</v>
      </c>
      <c r="B16" s="7" t="s">
        <v>247</v>
      </c>
      <c r="C16" s="7" t="s">
        <v>290</v>
      </c>
      <c r="D16" s="7" t="s">
        <v>291</v>
      </c>
      <c r="E16" s="7" t="s">
        <v>292</v>
      </c>
      <c r="F16" s="7" t="s">
        <v>288</v>
      </c>
    </row>
    <row r="17" customFormat="false" ht="39.75" hidden="false" customHeight="true" outlineLevel="0" collapsed="false">
      <c r="A17" s="18" t="s">
        <v>245</v>
      </c>
      <c r="B17" s="18" t="s">
        <v>247</v>
      </c>
      <c r="C17" s="18" t="s">
        <v>293</v>
      </c>
      <c r="D17" s="18" t="s">
        <v>286</v>
      </c>
      <c r="E17" s="18" t="s">
        <v>294</v>
      </c>
      <c r="F17" s="18" t="s">
        <v>295</v>
      </c>
    </row>
    <row r="18" customFormat="false" ht="39.75" hidden="false" customHeight="true" outlineLevel="0" collapsed="false">
      <c r="A18" s="7" t="s">
        <v>245</v>
      </c>
      <c r="B18" s="7" t="s">
        <v>246</v>
      </c>
      <c r="C18" s="7" t="s">
        <v>293</v>
      </c>
      <c r="D18" s="7" t="s">
        <v>291</v>
      </c>
      <c r="E18" s="7" t="s">
        <v>296</v>
      </c>
      <c r="F18" s="7" t="s">
        <v>295</v>
      </c>
    </row>
    <row r="20" customFormat="false" ht="18" hidden="false" customHeight="true" outlineLevel="0" collapsed="false">
      <c r="A20" s="3" t="s">
        <v>297</v>
      </c>
      <c r="B20" s="4"/>
      <c r="C20" s="4"/>
      <c r="D20" s="4"/>
      <c r="E20" s="4"/>
      <c r="F20" s="4"/>
    </row>
    <row r="21" customFormat="false" ht="30" hidden="false" customHeight="true" outlineLevel="0" collapsed="false">
      <c r="A21" s="6" t="s">
        <v>298</v>
      </c>
      <c r="B21" s="6" t="s">
        <v>299</v>
      </c>
      <c r="C21" s="6" t="s">
        <v>300</v>
      </c>
      <c r="D21" s="6"/>
      <c r="E21" s="6" t="s">
        <v>301</v>
      </c>
      <c r="F21" s="6"/>
    </row>
    <row r="22" customFormat="false" ht="36" hidden="false" customHeight="true" outlineLevel="0" collapsed="false">
      <c r="A22" s="7" t="s">
        <v>302</v>
      </c>
      <c r="B22" s="7" t="s">
        <v>192</v>
      </c>
      <c r="C22" s="7" t="s">
        <v>193</v>
      </c>
      <c r="D22" s="7"/>
      <c r="E22" s="7" t="s">
        <v>303</v>
      </c>
      <c r="F22" s="7"/>
    </row>
    <row r="23" customFormat="false" ht="36" hidden="false" customHeight="true" outlineLevel="0" collapsed="false">
      <c r="A23" s="18" t="s">
        <v>304</v>
      </c>
      <c r="B23" s="18" t="s">
        <v>193</v>
      </c>
      <c r="C23" s="18"/>
      <c r="D23" s="18"/>
      <c r="E23" s="18" t="s">
        <v>305</v>
      </c>
      <c r="F23" s="18"/>
    </row>
    <row r="24" customFormat="false" ht="36" hidden="false" customHeight="true" outlineLevel="0" collapsed="false">
      <c r="A24" s="7" t="s">
        <v>306</v>
      </c>
      <c r="B24" s="7" t="s">
        <v>193</v>
      </c>
      <c r="C24" s="7"/>
      <c r="D24" s="7"/>
      <c r="E24" s="7" t="s">
        <v>307</v>
      </c>
      <c r="F24" s="7"/>
    </row>
  </sheetData>
  <mergeCells count="8">
    <mergeCell ref="A1:F1"/>
    <mergeCell ref="A2:F2"/>
    <mergeCell ref="C22:D22"/>
    <mergeCell ref="E22:F22"/>
    <mergeCell ref="C23:D23"/>
    <mergeCell ref="E23:F23"/>
    <mergeCell ref="C24:D24"/>
    <mergeCell ref="E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8"/>
    <col collapsed="false" customWidth="true" hidden="false" outlineLevel="0" max="3" min="3" style="0" width="56"/>
    <col collapsed="false" customWidth="true" hidden="false" outlineLevel="0" max="5" min="4" style="0" width="12"/>
    <col collapsed="false" customWidth="true" hidden="false" outlineLevel="0" max="6" min="6" style="0" width="8"/>
    <col collapsed="false" customWidth="true" hidden="false" outlineLevel="0" max="7" min="7" style="0" width="62"/>
    <col collapsed="false" customWidth="true" hidden="false" outlineLevel="0" max="8" min="8" style="0" width="22"/>
    <col collapsed="false" customWidth="true" hidden="false" outlineLevel="0" max="9" min="9" style="0" width="12"/>
    <col collapsed="false" customWidth="true" hidden="false" outlineLevel="0" max="10" min="10" style="0" width="10"/>
  </cols>
  <sheetData>
    <row r="1" customFormat="false" ht="21.75" hidden="false" customHeight="true" outlineLevel="0" collapsed="false">
      <c r="A1" s="1" t="s">
        <v>308</v>
      </c>
      <c r="B1" s="1"/>
      <c r="C1" s="1"/>
      <c r="D1" s="1"/>
      <c r="E1" s="1"/>
      <c r="F1" s="1"/>
      <c r="G1" s="1"/>
      <c r="H1" s="1"/>
      <c r="I1" s="1"/>
      <c r="J1" s="1"/>
    </row>
    <row r="2" customFormat="false" ht="15" hidden="false" customHeight="false" outlineLevel="0" collapsed="false">
      <c r="A2" s="2" t="s">
        <v>309</v>
      </c>
      <c r="B2" s="2"/>
      <c r="C2" s="2"/>
      <c r="D2" s="2"/>
      <c r="E2" s="2"/>
      <c r="F2" s="2"/>
      <c r="G2" s="2"/>
      <c r="H2" s="2"/>
      <c r="I2" s="2"/>
      <c r="J2" s="2"/>
    </row>
    <row r="4" customFormat="false" ht="18" hidden="false" customHeight="true" outlineLevel="0" collapsed="false">
      <c r="A4" s="3" t="s">
        <v>310</v>
      </c>
      <c r="B4" s="4"/>
      <c r="C4" s="4"/>
      <c r="D4" s="4"/>
      <c r="E4" s="4"/>
      <c r="F4" s="4"/>
      <c r="G4" s="4"/>
      <c r="H4" s="4"/>
      <c r="I4" s="4"/>
      <c r="J4" s="4"/>
    </row>
    <row r="5" customFormat="false" ht="30" hidden="false" customHeight="true" outlineLevel="0" collapsed="false">
      <c r="A5" s="6" t="s">
        <v>235</v>
      </c>
      <c r="B5" s="6" t="s">
        <v>236</v>
      </c>
      <c r="C5" s="6" t="s">
        <v>311</v>
      </c>
      <c r="D5" s="6" t="s">
        <v>312</v>
      </c>
      <c r="E5" s="6" t="s">
        <v>313</v>
      </c>
      <c r="F5" s="6" t="s">
        <v>314</v>
      </c>
      <c r="G5" s="6" t="s">
        <v>315</v>
      </c>
      <c r="H5" s="6" t="s">
        <v>284</v>
      </c>
      <c r="I5" s="6" t="s">
        <v>316</v>
      </c>
      <c r="J5" s="6" t="s">
        <v>317</v>
      </c>
    </row>
    <row r="6" customFormat="false" ht="31.5" hidden="false" customHeight="true" outlineLevel="0" collapsed="false">
      <c r="A6" s="7" t="s">
        <v>318</v>
      </c>
      <c r="B6" s="7" t="s">
        <v>246</v>
      </c>
      <c r="C6" s="7" t="s">
        <v>319</v>
      </c>
      <c r="D6" s="47" t="s">
        <v>320</v>
      </c>
      <c r="E6" s="47" t="s">
        <v>320</v>
      </c>
      <c r="F6" s="48" t="n">
        <v>9</v>
      </c>
      <c r="G6" s="7" t="s">
        <v>321</v>
      </c>
      <c r="H6" s="7" t="s">
        <v>288</v>
      </c>
      <c r="I6" s="7" t="s">
        <v>322</v>
      </c>
      <c r="J6" s="49" t="n">
        <v>4</v>
      </c>
    </row>
    <row r="7" customFormat="false" ht="31.5" hidden="false" customHeight="true" outlineLevel="0" collapsed="false">
      <c r="A7" s="18" t="s">
        <v>323</v>
      </c>
      <c r="B7" s="18" t="s">
        <v>247</v>
      </c>
      <c r="C7" s="18" t="s">
        <v>324</v>
      </c>
      <c r="D7" s="50" t="s">
        <v>320</v>
      </c>
      <c r="E7" s="50" t="s">
        <v>320</v>
      </c>
      <c r="F7" s="48" t="n">
        <v>9</v>
      </c>
      <c r="G7" s="18" t="s">
        <v>325</v>
      </c>
      <c r="H7" s="18" t="s">
        <v>326</v>
      </c>
      <c r="I7" s="18" t="s">
        <v>327</v>
      </c>
      <c r="J7" s="51"/>
    </row>
    <row r="8" customFormat="false" ht="31.5" hidden="false" customHeight="true" outlineLevel="0" collapsed="false">
      <c r="A8" s="7" t="s">
        <v>328</v>
      </c>
      <c r="B8" s="7" t="s">
        <v>247</v>
      </c>
      <c r="C8" s="7" t="s">
        <v>329</v>
      </c>
      <c r="D8" s="47" t="s">
        <v>320</v>
      </c>
      <c r="E8" s="47" t="s">
        <v>320</v>
      </c>
      <c r="F8" s="48" t="n">
        <v>9</v>
      </c>
      <c r="G8" s="7" t="s">
        <v>330</v>
      </c>
      <c r="H8" s="7" t="s">
        <v>331</v>
      </c>
      <c r="I8" s="7" t="s">
        <v>322</v>
      </c>
      <c r="J8" s="49" t="n">
        <v>4</v>
      </c>
    </row>
    <row r="9" customFormat="false" ht="31.5" hidden="false" customHeight="true" outlineLevel="0" collapsed="false">
      <c r="A9" s="18" t="s">
        <v>332</v>
      </c>
      <c r="B9" s="18" t="s">
        <v>247</v>
      </c>
      <c r="C9" s="18" t="s">
        <v>333</v>
      </c>
      <c r="D9" s="50" t="s">
        <v>320</v>
      </c>
      <c r="E9" s="50" t="s">
        <v>320</v>
      </c>
      <c r="F9" s="48" t="n">
        <v>9</v>
      </c>
      <c r="G9" s="18" t="s">
        <v>334</v>
      </c>
      <c r="H9" s="18" t="s">
        <v>335</v>
      </c>
      <c r="I9" s="18" t="s">
        <v>322</v>
      </c>
      <c r="J9" s="52" t="n">
        <v>6</v>
      </c>
    </row>
    <row r="10" customFormat="false" ht="31.5" hidden="false" customHeight="true" outlineLevel="0" collapsed="false">
      <c r="A10" s="7" t="s">
        <v>336</v>
      </c>
      <c r="B10" s="7" t="s">
        <v>245</v>
      </c>
      <c r="C10" s="7" t="s">
        <v>337</v>
      </c>
      <c r="D10" s="47" t="s">
        <v>291</v>
      </c>
      <c r="E10" s="47" t="s">
        <v>338</v>
      </c>
      <c r="F10" s="52" t="n">
        <v>8</v>
      </c>
      <c r="G10" s="7" t="s">
        <v>339</v>
      </c>
      <c r="H10" s="7" t="s">
        <v>340</v>
      </c>
      <c r="I10" s="7" t="s">
        <v>322</v>
      </c>
      <c r="J10" s="49" t="n">
        <v>3</v>
      </c>
    </row>
    <row r="11" customFormat="false" ht="31.5" hidden="false" customHeight="true" outlineLevel="0" collapsed="false">
      <c r="A11" s="18" t="s">
        <v>341</v>
      </c>
      <c r="B11" s="18" t="s">
        <v>245</v>
      </c>
      <c r="C11" s="18" t="s">
        <v>342</v>
      </c>
      <c r="D11" s="50" t="s">
        <v>320</v>
      </c>
      <c r="E11" s="50" t="s">
        <v>291</v>
      </c>
      <c r="F11" s="52" t="n">
        <v>6</v>
      </c>
      <c r="G11" s="18" t="s">
        <v>343</v>
      </c>
      <c r="H11" s="18" t="s">
        <v>340</v>
      </c>
      <c r="I11" s="18" t="s">
        <v>322</v>
      </c>
      <c r="J11" s="49" t="n">
        <v>4</v>
      </c>
    </row>
    <row r="12" customFormat="false" ht="31.5" hidden="false" customHeight="true" outlineLevel="0" collapsed="false">
      <c r="A12" s="7" t="s">
        <v>344</v>
      </c>
      <c r="B12" s="7" t="s">
        <v>246</v>
      </c>
      <c r="C12" s="7" t="s">
        <v>345</v>
      </c>
      <c r="D12" s="47" t="s">
        <v>291</v>
      </c>
      <c r="E12" s="47" t="s">
        <v>320</v>
      </c>
      <c r="F12" s="52" t="n">
        <v>6</v>
      </c>
      <c r="G12" s="7" t="s">
        <v>346</v>
      </c>
      <c r="H12" s="7" t="s">
        <v>340</v>
      </c>
      <c r="I12" s="7" t="s">
        <v>322</v>
      </c>
      <c r="J12" s="49" t="n">
        <v>2</v>
      </c>
    </row>
    <row r="13" customFormat="false" ht="31.5" hidden="false" customHeight="true" outlineLevel="0" collapsed="false">
      <c r="A13" s="18" t="s">
        <v>347</v>
      </c>
      <c r="B13" s="18" t="s">
        <v>247</v>
      </c>
      <c r="C13" s="18" t="s">
        <v>348</v>
      </c>
      <c r="D13" s="50" t="s">
        <v>320</v>
      </c>
      <c r="E13" s="50" t="s">
        <v>291</v>
      </c>
      <c r="F13" s="52" t="n">
        <v>6</v>
      </c>
      <c r="G13" s="18" t="s">
        <v>349</v>
      </c>
      <c r="H13" s="18" t="s">
        <v>331</v>
      </c>
      <c r="I13" s="18" t="s">
        <v>322</v>
      </c>
      <c r="J13" s="49" t="n">
        <v>4</v>
      </c>
    </row>
    <row r="14" customFormat="false" ht="31.5" hidden="false" customHeight="true" outlineLevel="0" collapsed="false">
      <c r="A14" s="7" t="s">
        <v>350</v>
      </c>
      <c r="B14" s="7" t="s">
        <v>244</v>
      </c>
      <c r="C14" s="7" t="s">
        <v>351</v>
      </c>
      <c r="D14" s="47" t="s">
        <v>291</v>
      </c>
      <c r="E14" s="47" t="s">
        <v>291</v>
      </c>
      <c r="F14" s="49" t="n">
        <v>4</v>
      </c>
      <c r="G14" s="7" t="s">
        <v>352</v>
      </c>
      <c r="H14" s="7" t="s">
        <v>288</v>
      </c>
      <c r="I14" s="7" t="s">
        <v>322</v>
      </c>
      <c r="J14" s="49" t="n">
        <v>1</v>
      </c>
    </row>
    <row r="15" customFormat="false" ht="31.5" hidden="false" customHeight="true" outlineLevel="0" collapsed="false">
      <c r="A15" s="18" t="s">
        <v>353</v>
      </c>
      <c r="B15" s="18" t="s">
        <v>245</v>
      </c>
      <c r="C15" s="18" t="s">
        <v>354</v>
      </c>
      <c r="D15" s="50" t="s">
        <v>355</v>
      </c>
      <c r="E15" s="50" t="s">
        <v>338</v>
      </c>
      <c r="F15" s="49" t="n">
        <v>4</v>
      </c>
      <c r="G15" s="18" t="s">
        <v>356</v>
      </c>
      <c r="H15" s="18" t="s">
        <v>288</v>
      </c>
      <c r="I15" s="18" t="s">
        <v>357</v>
      </c>
      <c r="J15" s="51"/>
    </row>
    <row r="16" customFormat="false" ht="31.5" hidden="false" customHeight="true" outlineLevel="0" collapsed="false">
      <c r="A16" s="7" t="s">
        <v>358</v>
      </c>
      <c r="B16" s="7" t="s">
        <v>244</v>
      </c>
      <c r="C16" s="7" t="s">
        <v>359</v>
      </c>
      <c r="D16" s="47" t="s">
        <v>291</v>
      </c>
      <c r="E16" s="47" t="s">
        <v>355</v>
      </c>
      <c r="F16" s="49" t="n">
        <v>2</v>
      </c>
      <c r="G16" s="7" t="s">
        <v>360</v>
      </c>
      <c r="H16" s="7" t="s">
        <v>340</v>
      </c>
      <c r="I16" s="7" t="s">
        <v>357</v>
      </c>
      <c r="J16" s="51"/>
    </row>
    <row r="18" customFormat="false" ht="15" hidden="false" customHeight="false" outlineLevel="0" collapsed="false">
      <c r="A18" s="2" t="s">
        <v>361</v>
      </c>
      <c r="B18" s="2"/>
      <c r="C18" s="2"/>
      <c r="D18" s="2"/>
      <c r="E18" s="2"/>
      <c r="F18" s="2"/>
      <c r="G18" s="2"/>
      <c r="H18" s="2"/>
      <c r="I18" s="2"/>
      <c r="J18" s="2"/>
    </row>
  </sheetData>
  <mergeCells count="3">
    <mergeCell ref="A1:J1"/>
    <mergeCell ref="A2:J2"/>
    <mergeCell ref="A18:J18"/>
  </mergeCells>
  <dataValidations count="1">
    <dataValidation allowBlank="true" error="Pick a value from the list." errorStyle="stop" operator="between" showDropDown="false" showErrorMessage="false" showInputMessage="false" sqref="I6:I16" type="list">
      <formula1>"Mitigate,Accept,Transfer,Avoid"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66"/>
    <col collapsed="false" customWidth="true" hidden="false" outlineLevel="0" max="5" min="5" style="0" width="56"/>
    <col collapsed="false" customWidth="true" hidden="false" outlineLevel="0" max="6" min="6" style="0" width="24"/>
    <col collapsed="false" customWidth="true" hidden="false" outlineLevel="0" max="7" min="7" style="0" width="14"/>
  </cols>
  <sheetData>
    <row r="1" customFormat="false" ht="21.75" hidden="false" customHeight="true" outlineLevel="0" collapsed="false">
      <c r="A1" s="1" t="s">
        <v>362</v>
      </c>
      <c r="B1" s="1"/>
      <c r="C1" s="1"/>
      <c r="D1" s="1"/>
      <c r="E1" s="1"/>
      <c r="F1" s="1"/>
      <c r="G1" s="1"/>
    </row>
    <row r="2" customFormat="false" ht="15" hidden="false" customHeight="false" outlineLevel="0" collapsed="false">
      <c r="A2" s="2" t="s">
        <v>363</v>
      </c>
      <c r="B2" s="2"/>
      <c r="C2" s="2"/>
      <c r="D2" s="2"/>
      <c r="E2" s="2"/>
      <c r="F2" s="2"/>
      <c r="G2" s="2"/>
    </row>
    <row r="4" customFormat="false" ht="18" hidden="false" customHeight="true" outlineLevel="0" collapsed="false">
      <c r="A4" s="3" t="s">
        <v>364</v>
      </c>
      <c r="B4" s="4"/>
      <c r="C4" s="4"/>
      <c r="D4" s="4"/>
      <c r="E4" s="4"/>
      <c r="F4" s="4"/>
      <c r="G4" s="4"/>
    </row>
    <row r="5" customFormat="false" ht="30" hidden="false" customHeight="true" outlineLevel="0" collapsed="false">
      <c r="A5" s="6" t="s">
        <v>235</v>
      </c>
      <c r="B5" s="6" t="s">
        <v>236</v>
      </c>
      <c r="C5" s="6" t="s">
        <v>365</v>
      </c>
      <c r="D5" s="6" t="s">
        <v>366</v>
      </c>
      <c r="E5" s="6" t="s">
        <v>367</v>
      </c>
      <c r="F5" s="6" t="s">
        <v>368</v>
      </c>
      <c r="G5" s="6" t="s">
        <v>115</v>
      </c>
    </row>
    <row r="6" customFormat="false" ht="39.75" hidden="false" customHeight="true" outlineLevel="0" collapsed="false">
      <c r="A6" s="7" t="s">
        <v>369</v>
      </c>
      <c r="B6" s="7" t="s">
        <v>245</v>
      </c>
      <c r="C6" s="7" t="s">
        <v>370</v>
      </c>
      <c r="D6" s="7" t="s">
        <v>371</v>
      </c>
      <c r="E6" s="7" t="s">
        <v>372</v>
      </c>
      <c r="F6" s="7" t="s">
        <v>373</v>
      </c>
      <c r="G6" s="53" t="s">
        <v>374</v>
      </c>
    </row>
    <row r="7" customFormat="false" ht="39.75" hidden="false" customHeight="true" outlineLevel="0" collapsed="false">
      <c r="A7" s="18" t="s">
        <v>375</v>
      </c>
      <c r="B7" s="18" t="s">
        <v>245</v>
      </c>
      <c r="C7" s="18" t="s">
        <v>370</v>
      </c>
      <c r="D7" s="18" t="s">
        <v>376</v>
      </c>
      <c r="E7" s="18" t="s">
        <v>377</v>
      </c>
      <c r="F7" s="18" t="s">
        <v>288</v>
      </c>
      <c r="G7" s="53" t="s">
        <v>374</v>
      </c>
    </row>
    <row r="8" customFormat="false" ht="39.75" hidden="false" customHeight="true" outlineLevel="0" collapsed="false">
      <c r="A8" s="7" t="s">
        <v>378</v>
      </c>
      <c r="B8" s="7" t="s">
        <v>244</v>
      </c>
      <c r="C8" s="7" t="s">
        <v>379</v>
      </c>
      <c r="D8" s="7" t="s">
        <v>380</v>
      </c>
      <c r="E8" s="7" t="s">
        <v>381</v>
      </c>
      <c r="F8" s="7" t="s">
        <v>288</v>
      </c>
      <c r="G8" s="53" t="s">
        <v>374</v>
      </c>
    </row>
    <row r="9" customFormat="false" ht="39.75" hidden="false" customHeight="true" outlineLevel="0" collapsed="false">
      <c r="A9" s="18" t="s">
        <v>382</v>
      </c>
      <c r="B9" s="18" t="s">
        <v>246</v>
      </c>
      <c r="C9" s="18" t="s">
        <v>383</v>
      </c>
      <c r="D9" s="18" t="s">
        <v>384</v>
      </c>
      <c r="E9" s="18" t="s">
        <v>385</v>
      </c>
      <c r="F9" s="18" t="s">
        <v>288</v>
      </c>
      <c r="G9" s="53" t="s">
        <v>374</v>
      </c>
    </row>
    <row r="10" customFormat="false" ht="39.75" hidden="false" customHeight="true" outlineLevel="0" collapsed="false">
      <c r="A10" s="7" t="s">
        <v>386</v>
      </c>
      <c r="B10" s="7" t="s">
        <v>246</v>
      </c>
      <c r="C10" s="7" t="s">
        <v>290</v>
      </c>
      <c r="D10" s="7" t="s">
        <v>387</v>
      </c>
      <c r="E10" s="7" t="s">
        <v>388</v>
      </c>
      <c r="F10" s="7" t="s">
        <v>288</v>
      </c>
      <c r="G10" s="53" t="s">
        <v>374</v>
      </c>
    </row>
    <row r="11" customFormat="false" ht="39.75" hidden="false" customHeight="true" outlineLevel="0" collapsed="false">
      <c r="A11" s="18" t="s">
        <v>389</v>
      </c>
      <c r="B11" s="18" t="s">
        <v>247</v>
      </c>
      <c r="C11" s="18" t="s">
        <v>383</v>
      </c>
      <c r="D11" s="18" t="s">
        <v>390</v>
      </c>
      <c r="E11" s="18" t="s">
        <v>391</v>
      </c>
      <c r="F11" s="18" t="s">
        <v>331</v>
      </c>
      <c r="G11" s="53" t="s">
        <v>374</v>
      </c>
    </row>
    <row r="12" customFormat="false" ht="39.75" hidden="false" customHeight="true" outlineLevel="0" collapsed="false">
      <c r="A12" s="7" t="s">
        <v>392</v>
      </c>
      <c r="B12" s="7" t="s">
        <v>247</v>
      </c>
      <c r="C12" s="7" t="s">
        <v>383</v>
      </c>
      <c r="D12" s="7" t="s">
        <v>393</v>
      </c>
      <c r="E12" s="7" t="s">
        <v>394</v>
      </c>
      <c r="F12" s="7" t="s">
        <v>335</v>
      </c>
      <c r="G12" s="53" t="s">
        <v>374</v>
      </c>
    </row>
    <row r="13" customFormat="false" ht="39.75" hidden="false" customHeight="true" outlineLevel="0" collapsed="false">
      <c r="A13" s="18" t="s">
        <v>395</v>
      </c>
      <c r="B13" s="18" t="s">
        <v>247</v>
      </c>
      <c r="C13" s="18" t="s">
        <v>396</v>
      </c>
      <c r="D13" s="18" t="s">
        <v>397</v>
      </c>
      <c r="E13" s="18" t="s">
        <v>398</v>
      </c>
      <c r="F13" s="18" t="s">
        <v>326</v>
      </c>
      <c r="G13" s="53" t="s">
        <v>374</v>
      </c>
    </row>
    <row r="14" customFormat="false" ht="39.75" hidden="false" customHeight="true" outlineLevel="0" collapsed="false">
      <c r="A14" s="7" t="s">
        <v>399</v>
      </c>
      <c r="B14" s="7" t="s">
        <v>247</v>
      </c>
      <c r="C14" s="7" t="s">
        <v>293</v>
      </c>
      <c r="D14" s="7" t="s">
        <v>400</v>
      </c>
      <c r="E14" s="7" t="s">
        <v>401</v>
      </c>
      <c r="F14" s="7" t="s">
        <v>331</v>
      </c>
      <c r="G14" s="53" t="s">
        <v>374</v>
      </c>
    </row>
    <row r="15" customFormat="false" ht="39.75" hidden="false" customHeight="true" outlineLevel="0" collapsed="false">
      <c r="A15" s="18" t="s">
        <v>402</v>
      </c>
      <c r="B15" s="18" t="s">
        <v>248</v>
      </c>
      <c r="C15" s="18" t="s">
        <v>403</v>
      </c>
      <c r="D15" s="18" t="s">
        <v>404</v>
      </c>
      <c r="E15" s="18" t="s">
        <v>405</v>
      </c>
      <c r="F15" s="18" t="s">
        <v>406</v>
      </c>
      <c r="G15" s="53" t="s">
        <v>374</v>
      </c>
    </row>
    <row r="16" customFormat="false" ht="39.75" hidden="false" customHeight="true" outlineLevel="0" collapsed="false">
      <c r="A16" s="7" t="s">
        <v>407</v>
      </c>
      <c r="B16" s="7" t="s">
        <v>408</v>
      </c>
      <c r="C16" s="7" t="s">
        <v>409</v>
      </c>
      <c r="D16" s="7" t="s">
        <v>410</v>
      </c>
      <c r="E16" s="7" t="s">
        <v>411</v>
      </c>
      <c r="F16" s="7" t="s">
        <v>412</v>
      </c>
      <c r="G16" s="53" t="s">
        <v>374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5"/>
    <col collapsed="false" customWidth="true" hidden="false" outlineLevel="0" max="5" min="4" style="0" width="20"/>
    <col collapsed="false" customWidth="true" hidden="false" outlineLevel="0" max="6" min="6" style="0" width="15"/>
    <col collapsed="false" customWidth="true" hidden="false" outlineLevel="0" max="7" min="7" style="0" width="18"/>
    <col collapsed="false" customWidth="true" hidden="false" outlineLevel="0" max="8" min="8" style="0" width="54"/>
  </cols>
  <sheetData>
    <row r="1" customFormat="false" ht="21.75" hidden="false" customHeight="true" outlineLevel="0" collapsed="false">
      <c r="A1" s="1" t="s">
        <v>413</v>
      </c>
      <c r="B1" s="1"/>
      <c r="C1" s="1"/>
      <c r="D1" s="1"/>
      <c r="E1" s="1"/>
      <c r="F1" s="1"/>
      <c r="G1" s="1"/>
      <c r="H1" s="1"/>
    </row>
    <row r="2" customFormat="false" ht="15" hidden="false" customHeight="false" outlineLevel="0" collapsed="false">
      <c r="A2" s="2" t="s">
        <v>414</v>
      </c>
      <c r="B2" s="2"/>
      <c r="C2" s="2"/>
      <c r="D2" s="2"/>
      <c r="E2" s="2"/>
      <c r="F2" s="2"/>
      <c r="G2" s="2"/>
      <c r="H2" s="2"/>
    </row>
    <row r="4" customFormat="false" ht="18" hidden="false" customHeight="true" outlineLevel="0" collapsed="false">
      <c r="A4" s="3" t="s">
        <v>415</v>
      </c>
      <c r="B4" s="4"/>
      <c r="C4" s="4"/>
      <c r="D4" s="4"/>
      <c r="E4" s="4"/>
      <c r="F4" s="4"/>
      <c r="G4" s="4"/>
      <c r="H4" s="4"/>
    </row>
    <row r="5" customFormat="false" ht="30" hidden="false" customHeight="true" outlineLevel="0" collapsed="false">
      <c r="A5" s="6" t="s">
        <v>235</v>
      </c>
      <c r="B5" s="6" t="s">
        <v>236</v>
      </c>
      <c r="C5" s="6" t="s">
        <v>416</v>
      </c>
      <c r="D5" s="6" t="s">
        <v>417</v>
      </c>
      <c r="E5" s="6" t="s">
        <v>418</v>
      </c>
      <c r="F5" s="6" t="s">
        <v>419</v>
      </c>
      <c r="G5" s="6" t="s">
        <v>420</v>
      </c>
      <c r="H5" s="6" t="s">
        <v>421</v>
      </c>
    </row>
    <row r="6" customFormat="false" ht="39.75" hidden="false" customHeight="true" outlineLevel="0" collapsed="false">
      <c r="A6" s="7" t="s">
        <v>244</v>
      </c>
      <c r="B6" s="54" t="str">
        <f aca="false">IF('P1'!B6="","",'P1'!B6)</f>
        <v>Cloud cost visibility and tagging</v>
      </c>
      <c r="C6" s="27" t="n">
        <f aca="false">'P1'!B10</f>
        <v>48000</v>
      </c>
      <c r="D6" s="55" t="n">
        <v>0</v>
      </c>
      <c r="E6" s="55" t="n">
        <v>0</v>
      </c>
      <c r="F6" s="56" t="str">
        <f aca="false">IFERROR(E6/D6,"")</f>
        <v/>
      </c>
      <c r="G6" s="57" t="str">
        <f aca="false">IFERROR(C6/(E6/12),"Awaiting baseline")</f>
        <v>Awaiting baseline</v>
      </c>
      <c r="H6" s="7"/>
    </row>
    <row r="7" customFormat="false" ht="39.75" hidden="false" customHeight="true" outlineLevel="0" collapsed="false">
      <c r="A7" s="18" t="s">
        <v>245</v>
      </c>
      <c r="B7" s="58" t="str">
        <f aca="false">IF('P2'!B6="","",'P2'!B6)</f>
        <v>Retire the on-premises file servers</v>
      </c>
      <c r="C7" s="34" t="n">
        <f aca="false">'P2'!B10</f>
        <v>96000</v>
      </c>
      <c r="D7" s="55" t="n">
        <v>112800</v>
      </c>
      <c r="E7" s="55" t="n">
        <v>66000</v>
      </c>
      <c r="F7" s="59" t="n">
        <f aca="false">IFERROR(E7/D7,"")</f>
        <v>0.585106382978723</v>
      </c>
      <c r="G7" s="60" t="n">
        <f aca="false">IFERROR(C7/(E7/12),"Awaiting baseline")</f>
        <v>17.4545454545455</v>
      </c>
      <c r="H7" s="18" t="s">
        <v>422</v>
      </c>
    </row>
    <row r="8" customFormat="false" ht="39.75" hidden="false" customHeight="true" outlineLevel="0" collapsed="false">
      <c r="A8" s="7" t="s">
        <v>246</v>
      </c>
      <c r="B8" s="54" t="str">
        <f aca="false">IF('P3'!B6="","",'P3'!B6)</f>
        <v>Consolidate three monitoring tools</v>
      </c>
      <c r="C8" s="27" t="n">
        <f aca="false">'P3'!B10</f>
        <v>72000</v>
      </c>
      <c r="D8" s="55" t="n">
        <v>120000</v>
      </c>
      <c r="E8" s="55" t="n">
        <v>12000</v>
      </c>
      <c r="F8" s="56" t="n">
        <f aca="false">IFERROR(E8/D8,"")</f>
        <v>0.1</v>
      </c>
      <c r="G8" s="57" t="n">
        <f aca="false">IFERROR(C8/(E8/12),"Awaiting baseline")</f>
        <v>72</v>
      </c>
      <c r="H8" s="7" t="s">
        <v>423</v>
      </c>
    </row>
    <row r="9" customFormat="false" ht="39.75" hidden="false" customHeight="true" outlineLevel="0" collapsed="false">
      <c r="A9" s="18" t="s">
        <v>247</v>
      </c>
      <c r="B9" s="58" t="str">
        <f aca="false">IF('P4'!B6="","",'P4'!B6)</f>
        <v>Containerize order management on self-managed Kubernetes</v>
      </c>
      <c r="C9" s="34" t="n">
        <f aca="false">'P4'!B10</f>
        <v>220000</v>
      </c>
      <c r="D9" s="55" t="n">
        <v>0</v>
      </c>
      <c r="E9" s="55" t="n">
        <v>0</v>
      </c>
      <c r="F9" s="59" t="str">
        <f aca="false">IFERROR(E9/D9,"")</f>
        <v/>
      </c>
      <c r="G9" s="60" t="str">
        <f aca="false">IFERROR(C9/(E9/12),"Awaiting baseline")</f>
        <v>Awaiting baseline</v>
      </c>
      <c r="H9" s="18" t="s">
        <v>424</v>
      </c>
    </row>
    <row r="10" customFormat="false" ht="39.75" hidden="false" customHeight="true" outlineLevel="0" collapsed="false">
      <c r="A10" s="7" t="s">
        <v>248</v>
      </c>
      <c r="B10" s="54" t="str">
        <f aca="false">IF('P5'!B6="","",'P5'!B6)</f>
        <v>Customer portal with an AI assistant</v>
      </c>
      <c r="C10" s="27" t="n">
        <f aca="false">'P5'!B10</f>
        <v>0</v>
      </c>
      <c r="D10" s="55" t="n">
        <v>0</v>
      </c>
      <c r="E10" s="55" t="n">
        <v>0</v>
      </c>
      <c r="F10" s="56" t="str">
        <f aca="false">IFERROR(E10/D10,"")</f>
        <v/>
      </c>
      <c r="G10" s="57" t="str">
        <f aca="false">IFERROR(C10/(E10/12),"Awaiting baseline")</f>
        <v>Awaiting baseline</v>
      </c>
      <c r="H10" s="7"/>
    </row>
    <row r="11" customFormat="false" ht="15" hidden="false" customHeight="false" outlineLevel="0" collapsed="false">
      <c r="A11" s="40"/>
      <c r="B11" s="40" t="s">
        <v>249</v>
      </c>
      <c r="C11" s="41" t="n">
        <f aca="false">SUM(C6:C10)</f>
        <v>436000</v>
      </c>
      <c r="D11" s="41" t="n">
        <f aca="false">SUM(D6:D10)</f>
        <v>232800</v>
      </c>
      <c r="E11" s="41" t="n">
        <f aca="false">SUM(E6:E10)</f>
        <v>78000</v>
      </c>
      <c r="F11" s="61" t="n">
        <f aca="false">IFERROR(E11/D11,"")</f>
        <v>0.335051546391753</v>
      </c>
      <c r="G11" s="62" t="n">
        <f aca="false">IFERROR(C11/(E11/12),"Awaiting baseline")</f>
        <v>67.0769230769231</v>
      </c>
      <c r="H11" s="42"/>
    </row>
    <row r="13" customFormat="false" ht="15" hidden="false" customHeight="false" outlineLevel="0" collapsed="false">
      <c r="A13" s="2" t="s">
        <v>425</v>
      </c>
      <c r="B13" s="2"/>
      <c r="C13" s="2"/>
      <c r="D13" s="2"/>
      <c r="E13" s="2"/>
      <c r="F13" s="2"/>
      <c r="G13" s="2"/>
      <c r="H13" s="2"/>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60"/>
    <col collapsed="false" customWidth="true" hidden="false" outlineLevel="0" max="5" min="5" style="0" width="24"/>
    <col collapsed="false" customWidth="true" hidden="false" outlineLevel="0" max="6" min="6" style="0" width="14"/>
    <col collapsed="false" customWidth="true" hidden="false" outlineLevel="0" max="7" min="7" style="0" width="36"/>
  </cols>
  <sheetData>
    <row r="1" customFormat="false" ht="21.75" hidden="false" customHeight="true" outlineLevel="0" collapsed="false">
      <c r="A1" s="1" t="s">
        <v>426</v>
      </c>
      <c r="B1" s="1"/>
      <c r="C1" s="1"/>
      <c r="D1" s="1"/>
      <c r="E1" s="1"/>
      <c r="F1" s="1"/>
      <c r="G1" s="1"/>
    </row>
    <row r="2" customFormat="false" ht="15" hidden="false" customHeight="false" outlineLevel="0" collapsed="false">
      <c r="A2" s="2" t="s">
        <v>427</v>
      </c>
      <c r="B2" s="2"/>
      <c r="C2" s="2"/>
      <c r="D2" s="2"/>
      <c r="E2" s="2"/>
      <c r="F2" s="2"/>
      <c r="G2" s="2"/>
    </row>
    <row r="4" customFormat="false" ht="18" hidden="false" customHeight="true" outlineLevel="0" collapsed="false">
      <c r="A4" s="3" t="s">
        <v>428</v>
      </c>
      <c r="B4" s="4"/>
      <c r="C4" s="4"/>
      <c r="D4" s="4"/>
      <c r="E4" s="4"/>
      <c r="F4" s="4"/>
      <c r="G4" s="4"/>
    </row>
    <row r="5" customFormat="false" ht="30" hidden="false" customHeight="true" outlineLevel="0" collapsed="false">
      <c r="A5" s="6" t="s">
        <v>429</v>
      </c>
      <c r="B5" s="6" t="s">
        <v>236</v>
      </c>
      <c r="C5" s="6" t="s">
        <v>430</v>
      </c>
      <c r="D5" s="6" t="s">
        <v>431</v>
      </c>
      <c r="E5" s="6" t="s">
        <v>432</v>
      </c>
      <c r="F5" s="6" t="s">
        <v>433</v>
      </c>
      <c r="G5" s="6" t="s">
        <v>434</v>
      </c>
    </row>
    <row r="6" customFormat="false" ht="30" hidden="false" customHeight="true" outlineLevel="0" collapsed="false">
      <c r="A6" s="7" t="s">
        <v>435</v>
      </c>
      <c r="B6" s="7" t="s">
        <v>244</v>
      </c>
      <c r="C6" s="7" t="s">
        <v>436</v>
      </c>
      <c r="D6" s="7" t="s">
        <v>437</v>
      </c>
      <c r="E6" s="7" t="s">
        <v>412</v>
      </c>
      <c r="F6" s="7" t="s">
        <v>438</v>
      </c>
      <c r="G6" s="7" t="s">
        <v>439</v>
      </c>
    </row>
    <row r="7" customFormat="false" ht="30" hidden="false" customHeight="true" outlineLevel="0" collapsed="false">
      <c r="A7" s="18" t="s">
        <v>440</v>
      </c>
      <c r="B7" s="18" t="s">
        <v>245</v>
      </c>
      <c r="C7" s="18" t="s">
        <v>436</v>
      </c>
      <c r="D7" s="18" t="s">
        <v>441</v>
      </c>
      <c r="E7" s="18" t="s">
        <v>412</v>
      </c>
      <c r="F7" s="18" t="s">
        <v>438</v>
      </c>
      <c r="G7" s="18" t="s">
        <v>439</v>
      </c>
    </row>
    <row r="8" customFormat="false" ht="30" hidden="false" customHeight="true" outlineLevel="0" collapsed="false">
      <c r="A8" s="7" t="s">
        <v>442</v>
      </c>
      <c r="B8" s="7" t="s">
        <v>246</v>
      </c>
      <c r="C8" s="7" t="s">
        <v>443</v>
      </c>
      <c r="D8" s="7" t="s">
        <v>444</v>
      </c>
      <c r="E8" s="7" t="s">
        <v>412</v>
      </c>
      <c r="F8" s="7" t="s">
        <v>438</v>
      </c>
      <c r="G8" s="7" t="s">
        <v>439</v>
      </c>
    </row>
    <row r="9" customFormat="false" ht="30" hidden="false" customHeight="true" outlineLevel="0" collapsed="false">
      <c r="A9" s="18" t="s">
        <v>445</v>
      </c>
      <c r="B9" s="18" t="s">
        <v>247</v>
      </c>
      <c r="C9" s="18" t="s">
        <v>446</v>
      </c>
      <c r="D9" s="18" t="s">
        <v>447</v>
      </c>
      <c r="E9" s="18" t="s">
        <v>412</v>
      </c>
      <c r="F9" s="18" t="s">
        <v>438</v>
      </c>
      <c r="G9" s="18" t="s">
        <v>439</v>
      </c>
    </row>
    <row r="10" customFormat="false" ht="30" hidden="false" customHeight="true" outlineLevel="0" collapsed="false">
      <c r="A10" s="7" t="s">
        <v>448</v>
      </c>
      <c r="B10" s="7" t="s">
        <v>248</v>
      </c>
      <c r="C10" s="7" t="s">
        <v>446</v>
      </c>
      <c r="D10" s="7" t="s">
        <v>449</v>
      </c>
      <c r="E10" s="7" t="s">
        <v>412</v>
      </c>
      <c r="F10" s="7" t="s">
        <v>438</v>
      </c>
      <c r="G10" s="7" t="s">
        <v>439</v>
      </c>
    </row>
    <row r="12" customFormat="false" ht="15" hidden="false" customHeight="false" outlineLevel="0" collapsed="false">
      <c r="A12" s="2" t="s">
        <v>450</v>
      </c>
      <c r="B12" s="2"/>
      <c r="C12" s="2"/>
      <c r="D12" s="2"/>
      <c r="E12" s="2"/>
      <c r="F12" s="2"/>
      <c r="G12" s="2"/>
    </row>
  </sheetData>
  <mergeCells count="3">
    <mergeCell ref="A1:G1"/>
    <mergeCell ref="A2:G2"/>
    <mergeCell ref="A12:G12"/>
  </mergeCells>
  <dataValidations count="1">
    <dataValidation allowBlank="true" error="Pick a value from the list." errorStyle="stop" operator="between" showDropDown="false" showErrorMessage="false" showInputMessage="false" sqref="C6:C10" type="list">
      <formula1>"Approved,Approved with conditions,Deferred,Held,Rejected"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451</v>
      </c>
      <c r="B1" s="1"/>
      <c r="C1" s="1"/>
      <c r="D1" s="1"/>
      <c r="E1" s="1"/>
      <c r="F1" s="1"/>
      <c r="G1" s="1"/>
    </row>
    <row r="2" customFormat="false" ht="15" hidden="false" customHeight="false" outlineLevel="0" collapsed="false">
      <c r="A2" s="2" t="s">
        <v>452</v>
      </c>
      <c r="B2" s="2"/>
      <c r="C2" s="2"/>
      <c r="D2" s="2"/>
      <c r="E2" s="2"/>
      <c r="F2" s="2"/>
      <c r="G2" s="2"/>
    </row>
    <row r="4" customFormat="false" ht="18" hidden="false" customHeight="true" outlineLevel="0" collapsed="false">
      <c r="A4" s="3" t="s">
        <v>453</v>
      </c>
      <c r="B4" s="4"/>
      <c r="C4" s="4"/>
      <c r="D4" s="4"/>
      <c r="E4" s="4"/>
      <c r="F4" s="4"/>
      <c r="G4" s="4"/>
    </row>
    <row r="5" customFormat="false" ht="15" hidden="false" customHeight="true" outlineLevel="0" collapsed="false">
      <c r="A5" s="22" t="s">
        <v>454</v>
      </c>
      <c r="B5" s="63" t="s">
        <v>244</v>
      </c>
      <c r="C5" s="63"/>
      <c r="D5" s="63"/>
      <c r="E5" s="7"/>
      <c r="F5" s="7"/>
      <c r="G5" s="7"/>
    </row>
    <row r="6" customFormat="false" ht="15" hidden="false" customHeight="true" outlineLevel="0" collapsed="false">
      <c r="A6" s="64" t="s">
        <v>455</v>
      </c>
      <c r="B6" s="65" t="s">
        <v>456</v>
      </c>
      <c r="C6" s="65"/>
      <c r="D6" s="65"/>
      <c r="E6" s="18" t="s">
        <v>457</v>
      </c>
      <c r="F6" s="18"/>
      <c r="G6" s="18"/>
    </row>
    <row r="7" customFormat="false" ht="15" hidden="false" customHeight="true" outlineLevel="0" collapsed="false">
      <c r="A7" s="22" t="s">
        <v>458</v>
      </c>
      <c r="B7" s="63" t="s">
        <v>459</v>
      </c>
      <c r="C7" s="63"/>
      <c r="D7" s="63"/>
      <c r="E7" s="7" t="s">
        <v>460</v>
      </c>
      <c r="F7" s="7"/>
      <c r="G7" s="7"/>
    </row>
    <row r="8" customFormat="false" ht="15" hidden="false" customHeight="true" outlineLevel="0" collapsed="false">
      <c r="A8" s="64" t="s">
        <v>461</v>
      </c>
      <c r="B8" s="65" t="s">
        <v>462</v>
      </c>
      <c r="C8" s="65"/>
      <c r="D8" s="65"/>
      <c r="E8" s="18" t="s">
        <v>460</v>
      </c>
      <c r="F8" s="18"/>
      <c r="G8" s="18"/>
    </row>
    <row r="9" customFormat="false" ht="15" hidden="false" customHeight="true" outlineLevel="0" collapsed="false">
      <c r="A9" s="22" t="s">
        <v>463</v>
      </c>
      <c r="B9" s="63" t="s">
        <v>464</v>
      </c>
      <c r="C9" s="63"/>
      <c r="D9" s="63"/>
      <c r="E9" s="7" t="s">
        <v>460</v>
      </c>
      <c r="F9" s="7"/>
      <c r="G9" s="7"/>
    </row>
    <row r="10" customFormat="false" ht="15" hidden="false" customHeight="true" outlineLevel="0" collapsed="false">
      <c r="A10" s="64" t="s">
        <v>237</v>
      </c>
      <c r="B10" s="66" t="n">
        <v>48000</v>
      </c>
      <c r="C10" s="66"/>
      <c r="D10" s="66"/>
      <c r="E10" s="18" t="s">
        <v>465</v>
      </c>
      <c r="F10" s="18"/>
      <c r="G10" s="18"/>
    </row>
    <row r="11" customFormat="false" ht="15" hidden="false" customHeight="true" outlineLevel="0" collapsed="false">
      <c r="A11" s="22" t="s">
        <v>466</v>
      </c>
      <c r="B11" s="63" t="n">
        <v>2</v>
      </c>
      <c r="C11" s="63"/>
      <c r="D11" s="63"/>
      <c r="E11" s="7" t="s">
        <v>467</v>
      </c>
      <c r="F11" s="7"/>
      <c r="G11" s="7"/>
    </row>
    <row r="12" customFormat="false" ht="23.85" hidden="false" customHeight="true" outlineLevel="0" collapsed="false">
      <c r="A12" s="64" t="s">
        <v>468</v>
      </c>
      <c r="B12" s="65" t="s">
        <v>469</v>
      </c>
      <c r="C12" s="65"/>
      <c r="D12" s="65"/>
      <c r="E12" s="18"/>
      <c r="F12" s="18"/>
      <c r="G12" s="18"/>
    </row>
    <row r="13" customFormat="false" ht="15" hidden="false" customHeight="true" outlineLevel="0" collapsed="false">
      <c r="A13" s="22" t="s">
        <v>470</v>
      </c>
      <c r="B13" s="63" t="s">
        <v>471</v>
      </c>
      <c r="C13" s="63"/>
      <c r="D13" s="63"/>
      <c r="E13" s="7"/>
      <c r="F13" s="7"/>
      <c r="G13" s="7"/>
    </row>
    <row r="14" customFormat="false" ht="15" hidden="false" customHeight="true" outlineLevel="0" collapsed="false">
      <c r="A14" s="64" t="s">
        <v>243</v>
      </c>
      <c r="B14" s="65" t="s">
        <v>263</v>
      </c>
      <c r="C14" s="65"/>
      <c r="D14" s="65"/>
      <c r="E14" s="18" t="s">
        <v>472</v>
      </c>
      <c r="F14" s="18"/>
      <c r="G14" s="18"/>
    </row>
    <row r="15" customFormat="false" ht="23.85" hidden="false" customHeight="true" outlineLevel="0" collapsed="false">
      <c r="A15" s="22" t="s">
        <v>473</v>
      </c>
      <c r="B15" s="63" t="s">
        <v>474</v>
      </c>
      <c r="C15" s="63"/>
      <c r="D15" s="63"/>
      <c r="E15" s="7" t="s">
        <v>475</v>
      </c>
      <c r="F15" s="7"/>
      <c r="G15" s="7"/>
    </row>
    <row r="17" customFormat="false" ht="18" hidden="false" customHeight="true" outlineLevel="0" collapsed="false">
      <c r="A17" s="3" t="s">
        <v>476</v>
      </c>
      <c r="B17" s="4"/>
      <c r="C17" s="4"/>
      <c r="D17" s="4"/>
      <c r="E17" s="4"/>
      <c r="F17" s="4"/>
      <c r="G17" s="4"/>
    </row>
    <row r="18" customFormat="false" ht="15" hidden="false" customHeight="false" outlineLevel="0" collapsed="false">
      <c r="A18" s="2" t="s">
        <v>477</v>
      </c>
      <c r="B18" s="2"/>
      <c r="C18" s="2"/>
      <c r="D18" s="2"/>
      <c r="E18" s="2"/>
      <c r="F18" s="2"/>
      <c r="G18" s="2"/>
    </row>
    <row r="19" customFormat="false" ht="30" hidden="false" customHeight="true" outlineLevel="0" collapsed="false">
      <c r="A19" s="6" t="s">
        <v>165</v>
      </c>
      <c r="B19" s="6" t="s">
        <v>478</v>
      </c>
      <c r="C19" s="6" t="s">
        <v>166</v>
      </c>
      <c r="D19" s="6" t="s">
        <v>479</v>
      </c>
      <c r="E19" s="6" t="s">
        <v>480</v>
      </c>
      <c r="F19" s="6" t="s">
        <v>284</v>
      </c>
      <c r="G19" s="6" t="s">
        <v>481</v>
      </c>
    </row>
    <row r="20" customFormat="false" ht="57.75" hidden="false" customHeight="true" outlineLevel="0" collapsed="false">
      <c r="A20" s="7" t="s">
        <v>168</v>
      </c>
      <c r="B20" s="67" t="n">
        <v>3</v>
      </c>
      <c r="C20" s="68" t="n">
        <f aca="false">'01 Scoring Model'!$B$6</f>
        <v>0.1</v>
      </c>
      <c r="D20" s="69" t="n">
        <f aca="false">IF(B20="","",B20*C20)</f>
        <v>0.3</v>
      </c>
      <c r="E20" s="7" t="s">
        <v>482</v>
      </c>
      <c r="F20" s="7" t="s">
        <v>288</v>
      </c>
      <c r="G20" s="7" t="s">
        <v>483</v>
      </c>
    </row>
    <row r="21" customFormat="false" ht="57.75" hidden="false" customHeight="true" outlineLevel="0" collapsed="false">
      <c r="A21" s="18" t="s">
        <v>170</v>
      </c>
      <c r="B21" s="70" t="n">
        <v>4</v>
      </c>
      <c r="C21" s="71" t="n">
        <f aca="false">'01 Scoring Model'!$B$7</f>
        <v>0.35</v>
      </c>
      <c r="D21" s="72" t="n">
        <f aca="false">IF(B21="","",B21*C21)</f>
        <v>1.4</v>
      </c>
      <c r="E21" s="18" t="s">
        <v>484</v>
      </c>
      <c r="F21" s="18" t="s">
        <v>485</v>
      </c>
      <c r="G21" s="18" t="s">
        <v>486</v>
      </c>
    </row>
    <row r="22" customFormat="false" ht="57.75" hidden="false" customHeight="true" outlineLevel="0" collapsed="false">
      <c r="A22" s="7" t="s">
        <v>172</v>
      </c>
      <c r="B22" s="67" t="n">
        <v>3</v>
      </c>
      <c r="C22" s="68" t="n">
        <f aca="false">'01 Scoring Model'!$B$8</f>
        <v>0.15</v>
      </c>
      <c r="D22" s="69" t="n">
        <f aca="false">IF(B22="","",B22*C22)</f>
        <v>0.45</v>
      </c>
      <c r="E22" s="7" t="s">
        <v>487</v>
      </c>
      <c r="F22" s="7" t="s">
        <v>288</v>
      </c>
      <c r="G22" s="7" t="s">
        <v>488</v>
      </c>
    </row>
    <row r="23" customFormat="false" ht="57.75" hidden="false" customHeight="true" outlineLevel="0" collapsed="false">
      <c r="A23" s="18" t="s">
        <v>174</v>
      </c>
      <c r="B23" s="70" t="n">
        <v>2</v>
      </c>
      <c r="C23" s="71" t="n">
        <f aca="false">'01 Scoring Model'!$B$9</f>
        <v>0.1</v>
      </c>
      <c r="D23" s="72" t="n">
        <f aca="false">IF(B23="","",B23*C23)</f>
        <v>0.2</v>
      </c>
      <c r="E23" s="18" t="s">
        <v>489</v>
      </c>
      <c r="F23" s="18" t="s">
        <v>288</v>
      </c>
      <c r="G23" s="18" t="s">
        <v>490</v>
      </c>
    </row>
    <row r="24" customFormat="false" ht="57.75" hidden="false" customHeight="true" outlineLevel="0" collapsed="false">
      <c r="A24" s="7" t="s">
        <v>176</v>
      </c>
      <c r="B24" s="67" t="n">
        <v>2</v>
      </c>
      <c r="C24" s="68" t="n">
        <f aca="false">'01 Scoring Model'!$B$10</f>
        <v>0.05</v>
      </c>
      <c r="D24" s="69" t="n">
        <f aca="false">IF(B24="","",B24*C24)</f>
        <v>0.1</v>
      </c>
      <c r="E24" s="7" t="s">
        <v>491</v>
      </c>
      <c r="F24" s="7" t="s">
        <v>326</v>
      </c>
      <c r="G24" s="7" t="s">
        <v>492</v>
      </c>
    </row>
    <row r="25" customFormat="false" ht="57.75" hidden="false" customHeight="true" outlineLevel="0" collapsed="false">
      <c r="A25" s="18" t="s">
        <v>178</v>
      </c>
      <c r="B25" s="70" t="n">
        <v>4</v>
      </c>
      <c r="C25" s="71" t="n">
        <f aca="false">'01 Scoring Model'!$B$11</f>
        <v>0.15</v>
      </c>
      <c r="D25" s="72" t="n">
        <f aca="false">IF(B25="","",B25*C25)</f>
        <v>0.6</v>
      </c>
      <c r="E25" s="18" t="s">
        <v>493</v>
      </c>
      <c r="F25" s="18" t="s">
        <v>494</v>
      </c>
      <c r="G25" s="18" t="s">
        <v>495</v>
      </c>
    </row>
    <row r="26" customFormat="false" ht="57.75" hidden="false" customHeight="true" outlineLevel="0" collapsed="false">
      <c r="A26" s="7" t="s">
        <v>180</v>
      </c>
      <c r="B26" s="67" t="n">
        <v>4</v>
      </c>
      <c r="C26" s="68" t="n">
        <f aca="false">'01 Scoring Model'!$B$12</f>
        <v>0.1</v>
      </c>
      <c r="D26" s="69" t="n">
        <f aca="false">IF(B26="","",B26*C26)</f>
        <v>0.4</v>
      </c>
      <c r="E26" s="7" t="s">
        <v>496</v>
      </c>
      <c r="F26" s="7" t="s">
        <v>494</v>
      </c>
      <c r="G26" s="7" t="s">
        <v>497</v>
      </c>
    </row>
    <row r="27" customFormat="false" ht="15" hidden="false" customHeight="true" outlineLevel="0" collapsed="false">
      <c r="A27" s="40" t="s">
        <v>498</v>
      </c>
      <c r="B27" s="42"/>
      <c r="C27" s="42"/>
      <c r="D27" s="73" t="n">
        <f aca="false">IF(COUNT(B20:B26)=0,"",ROUND(SUM(D20:D26),2))</f>
        <v>3.45</v>
      </c>
      <c r="E27" s="40" t="s">
        <v>499</v>
      </c>
      <c r="F27" s="40"/>
      <c r="G27" s="40"/>
    </row>
    <row r="29" customFormat="false" ht="18" hidden="false" customHeight="true" outlineLevel="0" collapsed="false">
      <c r="A29" s="3" t="s">
        <v>500</v>
      </c>
      <c r="B29" s="4"/>
      <c r="C29" s="4"/>
      <c r="D29" s="4"/>
      <c r="E29" s="4"/>
      <c r="F29" s="4"/>
      <c r="G29" s="4"/>
    </row>
    <row r="30" customFormat="false" ht="30" hidden="false" customHeight="true" outlineLevel="0" collapsed="false">
      <c r="A30" s="6" t="s">
        <v>501</v>
      </c>
      <c r="B30" s="6"/>
      <c r="C30" s="6"/>
      <c r="D30" s="6"/>
      <c r="E30" s="6" t="s">
        <v>502</v>
      </c>
      <c r="F30" s="6"/>
      <c r="G30" s="6"/>
    </row>
    <row r="31" customFormat="false" ht="15" hidden="false" customHeight="true" outlineLevel="0" collapsed="false">
      <c r="A31" s="7" t="s">
        <v>503</v>
      </c>
      <c r="B31" s="7"/>
      <c r="C31" s="7"/>
      <c r="D31" s="7"/>
      <c r="E31" s="7" t="s">
        <v>504</v>
      </c>
      <c r="F31" s="7"/>
      <c r="G31" s="7"/>
    </row>
    <row r="32" customFormat="false" ht="15" hidden="false" customHeight="true" outlineLevel="0" collapsed="false">
      <c r="A32" s="18" t="s">
        <v>505</v>
      </c>
      <c r="B32" s="18"/>
      <c r="C32" s="18"/>
      <c r="D32" s="18"/>
      <c r="E32" s="18" t="s">
        <v>506</v>
      </c>
      <c r="F32" s="18"/>
      <c r="G32" s="18"/>
    </row>
    <row r="33" customFormat="false" ht="15" hidden="false" customHeight="true" outlineLevel="0" collapsed="false">
      <c r="A33" s="7" t="s">
        <v>507</v>
      </c>
      <c r="B33" s="7"/>
      <c r="C33" s="7"/>
      <c r="D33" s="7"/>
      <c r="E33" s="7"/>
      <c r="F33" s="7"/>
      <c r="G33" s="7"/>
    </row>
    <row r="34" customFormat="false" ht="15" hidden="false" customHeight="true" outlineLevel="0" collapsed="false">
      <c r="A34" s="18" t="s">
        <v>508</v>
      </c>
      <c r="B34" s="18"/>
      <c r="C34" s="18"/>
      <c r="D34" s="18"/>
      <c r="E34" s="18"/>
      <c r="F34" s="18"/>
      <c r="G34" s="18"/>
    </row>
    <row r="36" customFormat="false" ht="18" hidden="false" customHeight="true" outlineLevel="0" collapsed="false">
      <c r="A36" s="3" t="s">
        <v>509</v>
      </c>
      <c r="B36" s="4"/>
      <c r="C36" s="4"/>
      <c r="D36" s="4"/>
      <c r="E36" s="4"/>
      <c r="F36" s="4"/>
      <c r="G36" s="4"/>
    </row>
    <row r="37" customFormat="false" ht="30" hidden="false" customHeight="true" outlineLevel="0" collapsed="false">
      <c r="A37" s="6" t="s">
        <v>281</v>
      </c>
      <c r="B37" s="6" t="s">
        <v>510</v>
      </c>
      <c r="C37" s="6"/>
      <c r="D37" s="6"/>
      <c r="E37" s="6" t="s">
        <v>511</v>
      </c>
      <c r="F37" s="6" t="s">
        <v>284</v>
      </c>
      <c r="G37" s="6" t="s">
        <v>512</v>
      </c>
    </row>
    <row r="38" customFormat="false" ht="23.85" hidden="false" customHeight="true" outlineLevel="0" collapsed="false">
      <c r="A38" s="7" t="s">
        <v>513</v>
      </c>
      <c r="B38" s="7" t="s">
        <v>514</v>
      </c>
      <c r="C38" s="7"/>
      <c r="D38" s="7"/>
      <c r="E38" s="7" t="s">
        <v>515</v>
      </c>
      <c r="F38" s="7" t="s">
        <v>288</v>
      </c>
      <c r="G38" s="7" t="s">
        <v>320</v>
      </c>
    </row>
    <row r="39" customFormat="false" ht="15" hidden="false" customHeight="true" outlineLevel="0" collapsed="false">
      <c r="A39" s="18" t="s">
        <v>516</v>
      </c>
      <c r="B39" s="18" t="s">
        <v>517</v>
      </c>
      <c r="C39" s="18"/>
      <c r="D39" s="18"/>
      <c r="E39" s="18" t="s">
        <v>518</v>
      </c>
      <c r="F39" s="18" t="s">
        <v>295</v>
      </c>
      <c r="G39" s="18" t="s">
        <v>291</v>
      </c>
    </row>
    <row r="41" customFormat="false" ht="18" hidden="false" customHeight="true" outlineLevel="0" collapsed="false">
      <c r="A41" s="3" t="s">
        <v>519</v>
      </c>
      <c r="B41" s="4"/>
      <c r="C41" s="4"/>
      <c r="D41" s="4"/>
      <c r="E41" s="4"/>
      <c r="F41" s="4"/>
      <c r="G41" s="4"/>
    </row>
    <row r="42" customFormat="false" ht="30" hidden="false" customHeight="true" outlineLevel="0" collapsed="false">
      <c r="A42" s="6" t="s">
        <v>311</v>
      </c>
      <c r="B42" s="6" t="s">
        <v>312</v>
      </c>
      <c r="C42" s="6" t="s">
        <v>313</v>
      </c>
      <c r="D42" s="6" t="s">
        <v>314</v>
      </c>
      <c r="E42" s="6" t="s">
        <v>315</v>
      </c>
      <c r="F42" s="6" t="s">
        <v>284</v>
      </c>
      <c r="G42" s="6" t="s">
        <v>520</v>
      </c>
    </row>
    <row r="43" customFormat="false" ht="23.85" hidden="false" customHeight="false" outlineLevel="0" collapsed="false">
      <c r="A43" s="7" t="s">
        <v>351</v>
      </c>
      <c r="B43" s="47" t="s">
        <v>291</v>
      </c>
      <c r="C43" s="47" t="s">
        <v>291</v>
      </c>
      <c r="D43" s="51" t="n">
        <v>4</v>
      </c>
      <c r="E43" s="7" t="s">
        <v>352</v>
      </c>
      <c r="F43" s="7" t="s">
        <v>288</v>
      </c>
      <c r="G43" s="7" t="s">
        <v>521</v>
      </c>
    </row>
    <row r="44" customFormat="false" ht="15" hidden="false" customHeight="false" outlineLevel="0" collapsed="false">
      <c r="A44" s="18" t="s">
        <v>359</v>
      </c>
      <c r="B44" s="50" t="s">
        <v>291</v>
      </c>
      <c r="C44" s="50" t="s">
        <v>355</v>
      </c>
      <c r="D44" s="74" t="n">
        <v>2</v>
      </c>
      <c r="E44" s="18" t="s">
        <v>360</v>
      </c>
      <c r="F44" s="18" t="s">
        <v>340</v>
      </c>
      <c r="G44" s="18" t="s">
        <v>357</v>
      </c>
    </row>
    <row r="45" customFormat="false" ht="15" hidden="false" customHeight="false" outlineLevel="0" collapsed="false">
      <c r="A45" s="2" t="s">
        <v>522</v>
      </c>
      <c r="B45" s="2"/>
      <c r="C45" s="2"/>
      <c r="D45" s="2"/>
      <c r="E45" s="2"/>
      <c r="F45" s="2"/>
      <c r="G45" s="2"/>
    </row>
    <row r="47" customFormat="false" ht="18" hidden="false" customHeight="true" outlineLevel="0" collapsed="false">
      <c r="A47" s="3" t="s">
        <v>523</v>
      </c>
      <c r="B47" s="4"/>
      <c r="C47" s="4"/>
      <c r="D47" s="4"/>
      <c r="E47" s="4"/>
      <c r="F47" s="4"/>
      <c r="G47" s="4"/>
    </row>
    <row r="48" customFormat="false" ht="30" hidden="false" customHeight="true" outlineLevel="0" collapsed="false">
      <c r="A48" s="6" t="s">
        <v>524</v>
      </c>
      <c r="B48" s="6" t="s">
        <v>525</v>
      </c>
      <c r="C48" s="6"/>
      <c r="D48" s="6" t="s">
        <v>526</v>
      </c>
      <c r="E48" s="6" t="s">
        <v>527</v>
      </c>
      <c r="F48" s="6" t="s">
        <v>528</v>
      </c>
      <c r="G48" s="6"/>
    </row>
    <row r="49" customFormat="false" ht="23.85" hidden="false" customHeight="true" outlineLevel="0" collapsed="false">
      <c r="A49" s="7" t="s">
        <v>529</v>
      </c>
      <c r="B49" s="7" t="s">
        <v>530</v>
      </c>
      <c r="C49" s="7"/>
      <c r="D49" s="7" t="s">
        <v>531</v>
      </c>
      <c r="E49" s="7" t="s">
        <v>532</v>
      </c>
      <c r="F49" s="7" t="s">
        <v>533</v>
      </c>
      <c r="G49" s="7"/>
    </row>
    <row r="50" customFormat="false" ht="15" hidden="false" customHeight="true" outlineLevel="0" collapsed="false">
      <c r="A50" s="18" t="s">
        <v>534</v>
      </c>
      <c r="B50" s="18" t="s">
        <v>535</v>
      </c>
      <c r="C50" s="18"/>
      <c r="D50" s="18" t="s">
        <v>536</v>
      </c>
      <c r="E50" s="18" t="s">
        <v>532</v>
      </c>
      <c r="F50" s="18" t="s">
        <v>533</v>
      </c>
      <c r="G50" s="18"/>
    </row>
    <row r="52" customFormat="false" ht="18" hidden="false" customHeight="true" outlineLevel="0" collapsed="false">
      <c r="A52" s="3" t="s">
        <v>537</v>
      </c>
      <c r="B52" s="4"/>
      <c r="C52" s="4"/>
      <c r="D52" s="4"/>
      <c r="E52" s="4"/>
      <c r="F52" s="4"/>
      <c r="G52" s="4"/>
    </row>
    <row r="53" customFormat="false" ht="30" hidden="false" customHeight="true" outlineLevel="0" collapsed="false">
      <c r="A53" s="6" t="s">
        <v>538</v>
      </c>
      <c r="B53" s="6" t="s">
        <v>115</v>
      </c>
      <c r="C53" s="6"/>
      <c r="D53" s="6"/>
      <c r="E53" s="6" t="s">
        <v>539</v>
      </c>
      <c r="F53" s="6" t="s">
        <v>540</v>
      </c>
      <c r="G53" s="6" t="s">
        <v>541</v>
      </c>
    </row>
    <row r="54" customFormat="false" ht="15" hidden="false" customHeight="false" outlineLevel="0" collapsed="false">
      <c r="A54" s="7" t="s">
        <v>542</v>
      </c>
      <c r="B54" s="49" t="s">
        <v>543</v>
      </c>
      <c r="C54" s="49"/>
      <c r="D54" s="49"/>
      <c r="E54" s="7" t="s">
        <v>544</v>
      </c>
      <c r="F54" s="7" t="s">
        <v>494</v>
      </c>
      <c r="G54" s="7"/>
    </row>
    <row r="55" customFormat="false" ht="15" hidden="false" customHeight="false" outlineLevel="0" collapsed="false">
      <c r="A55" s="18" t="s">
        <v>545</v>
      </c>
      <c r="B55" s="49" t="s">
        <v>543</v>
      </c>
      <c r="C55" s="49"/>
      <c r="D55" s="49"/>
      <c r="E55" s="18" t="s">
        <v>546</v>
      </c>
      <c r="F55" s="18" t="s">
        <v>494</v>
      </c>
      <c r="G55" s="18"/>
    </row>
    <row r="56" customFormat="false" ht="15" hidden="false" customHeight="false" outlineLevel="0" collapsed="false">
      <c r="A56" s="7" t="s">
        <v>547</v>
      </c>
      <c r="B56" s="75" t="s">
        <v>548</v>
      </c>
      <c r="C56" s="75"/>
      <c r="D56" s="75"/>
      <c r="E56" s="7" t="s">
        <v>549</v>
      </c>
      <c r="F56" s="7" t="s">
        <v>326</v>
      </c>
      <c r="G56" s="7"/>
    </row>
    <row r="57" customFormat="false" ht="23.85" hidden="false" customHeight="false" outlineLevel="0" collapsed="false">
      <c r="A57" s="18" t="s">
        <v>550</v>
      </c>
      <c r="B57" s="52" t="s">
        <v>551</v>
      </c>
      <c r="C57" s="52"/>
      <c r="D57" s="52"/>
      <c r="E57" s="18" t="s">
        <v>552</v>
      </c>
      <c r="F57" s="18" t="s">
        <v>288</v>
      </c>
      <c r="G57" s="18"/>
    </row>
    <row r="58" customFormat="false" ht="23.85" hidden="false" customHeight="false" outlineLevel="0" collapsed="false">
      <c r="A58" s="7" t="s">
        <v>553</v>
      </c>
      <c r="B58" s="52" t="s">
        <v>551</v>
      </c>
      <c r="C58" s="52"/>
      <c r="D58" s="52"/>
      <c r="E58" s="7" t="s">
        <v>554</v>
      </c>
      <c r="F58" s="7" t="s">
        <v>485</v>
      </c>
      <c r="G58" s="7"/>
    </row>
    <row r="59" customFormat="false" ht="15" hidden="false" customHeight="false" outlineLevel="0" collapsed="false">
      <c r="A59" s="18" t="s">
        <v>555</v>
      </c>
      <c r="B59" s="76" t="s">
        <v>556</v>
      </c>
      <c r="C59" s="76"/>
      <c r="D59" s="76"/>
      <c r="E59" s="18" t="s">
        <v>557</v>
      </c>
      <c r="F59" s="18" t="s">
        <v>494</v>
      </c>
      <c r="G59" s="18"/>
    </row>
    <row r="60" customFormat="false" ht="15" hidden="false" customHeight="false" outlineLevel="0" collapsed="false">
      <c r="A60" s="7" t="s">
        <v>558</v>
      </c>
      <c r="B60" s="49" t="s">
        <v>543</v>
      </c>
      <c r="C60" s="49"/>
      <c r="D60" s="49"/>
      <c r="E60" s="7" t="s">
        <v>559</v>
      </c>
      <c r="F60" s="7" t="s">
        <v>485</v>
      </c>
      <c r="G60" s="7"/>
    </row>
    <row r="61" customFormat="false" ht="15" hidden="false" customHeight="false" outlineLevel="0" collapsed="false">
      <c r="A61" s="18" t="s">
        <v>560</v>
      </c>
      <c r="B61" s="76" t="s">
        <v>556</v>
      </c>
      <c r="C61" s="76"/>
      <c r="D61" s="76"/>
      <c r="E61" s="18" t="s">
        <v>561</v>
      </c>
      <c r="F61" s="18" t="s">
        <v>494</v>
      </c>
      <c r="G61" s="18"/>
    </row>
    <row r="62" customFormat="false" ht="15" hidden="false" customHeight="false" outlineLevel="0" collapsed="false">
      <c r="A62" s="7" t="s">
        <v>562</v>
      </c>
      <c r="B62" s="75" t="s">
        <v>548</v>
      </c>
      <c r="C62" s="75"/>
      <c r="D62" s="75"/>
      <c r="E62" s="7" t="s">
        <v>563</v>
      </c>
      <c r="F62" s="7" t="s">
        <v>564</v>
      </c>
      <c r="G62" s="7"/>
    </row>
    <row r="63" customFormat="false" ht="23.85" hidden="false" customHeight="false" outlineLevel="0" collapsed="false">
      <c r="A63" s="18" t="s">
        <v>565</v>
      </c>
      <c r="B63" s="75" t="s">
        <v>548</v>
      </c>
      <c r="C63" s="75"/>
      <c r="D63" s="75"/>
      <c r="E63" s="18" t="s">
        <v>566</v>
      </c>
      <c r="F63" s="18" t="s">
        <v>494</v>
      </c>
      <c r="G63" s="18"/>
    </row>
    <row r="64" customFormat="false" ht="15" hidden="false" customHeight="false" outlineLevel="0" collapsed="false">
      <c r="A64" s="2" t="s">
        <v>567</v>
      </c>
      <c r="B64" s="2"/>
      <c r="C64" s="2"/>
      <c r="D64" s="2"/>
      <c r="E64" s="2"/>
      <c r="F64" s="2"/>
      <c r="G64" s="2"/>
    </row>
    <row r="66" customFormat="false" ht="18" hidden="false" customHeight="true" outlineLevel="0" collapsed="false">
      <c r="A66" s="3" t="s">
        <v>568</v>
      </c>
      <c r="B66" s="4"/>
      <c r="C66" s="4"/>
      <c r="D66" s="4"/>
      <c r="E66" s="4"/>
      <c r="F66" s="4"/>
      <c r="G66" s="4"/>
    </row>
    <row r="67" customFormat="false" ht="15" hidden="false" customHeight="true" outlineLevel="0" collapsed="false">
      <c r="A67" s="7" t="s">
        <v>569</v>
      </c>
      <c r="B67" s="7" t="s">
        <v>380</v>
      </c>
      <c r="C67" s="7"/>
      <c r="D67" s="7"/>
      <c r="E67" s="7"/>
      <c r="F67" s="7"/>
      <c r="G67" s="7"/>
    </row>
    <row r="68" customFormat="false" ht="15" hidden="false" customHeight="true" outlineLevel="0" collapsed="false">
      <c r="A68" s="18" t="s">
        <v>570</v>
      </c>
      <c r="B68" s="18" t="s">
        <v>571</v>
      </c>
      <c r="C68" s="18"/>
      <c r="D68" s="18"/>
      <c r="E68" s="18"/>
      <c r="F68" s="18"/>
      <c r="G68" s="18"/>
    </row>
    <row r="70" customFormat="false" ht="18" hidden="false" customHeight="true" outlineLevel="0" collapsed="false">
      <c r="A70" s="3" t="s">
        <v>572</v>
      </c>
      <c r="B70" s="4"/>
      <c r="C70" s="4"/>
      <c r="D70" s="4"/>
      <c r="E70" s="4"/>
      <c r="F70" s="4"/>
      <c r="G70" s="4"/>
    </row>
    <row r="71" customFormat="false" ht="15" hidden="false" customHeight="true" outlineLevel="0" collapsed="false">
      <c r="A71" s="22" t="s">
        <v>573</v>
      </c>
      <c r="B71" s="63" t="s">
        <v>574</v>
      </c>
      <c r="C71" s="63"/>
      <c r="D71" s="63"/>
      <c r="E71" s="7" t="s">
        <v>575</v>
      </c>
      <c r="F71" s="7"/>
      <c r="G71" s="7"/>
    </row>
    <row r="72" customFormat="false" ht="15" hidden="false" customHeight="true" outlineLevel="0" collapsed="false">
      <c r="A72" s="64" t="s">
        <v>576</v>
      </c>
      <c r="B72" s="65" t="s">
        <v>577</v>
      </c>
      <c r="C72" s="65"/>
      <c r="D72" s="65"/>
      <c r="E72" s="18" t="s">
        <v>578</v>
      </c>
      <c r="F72" s="18"/>
      <c r="G72" s="18"/>
    </row>
    <row r="73" customFormat="false" ht="23.85" hidden="false" customHeight="true" outlineLevel="0" collapsed="false">
      <c r="A73" s="22" t="s">
        <v>579</v>
      </c>
      <c r="B73" s="63" t="s">
        <v>580</v>
      </c>
      <c r="C73" s="63"/>
      <c r="D73" s="63"/>
      <c r="E73" s="7" t="s">
        <v>581</v>
      </c>
      <c r="F73" s="7"/>
      <c r="G73" s="7"/>
    </row>
    <row r="74" customFormat="false" ht="15" hidden="false" customHeight="true" outlineLevel="0" collapsed="false">
      <c r="A74" s="64" t="s">
        <v>582</v>
      </c>
      <c r="B74" s="65" t="s">
        <v>459</v>
      </c>
      <c r="C74" s="65"/>
      <c r="D74" s="65"/>
      <c r="E74" s="18" t="s">
        <v>583</v>
      </c>
      <c r="F74" s="18"/>
      <c r="G74" s="18"/>
    </row>
    <row r="75" customFormat="false" ht="15" hidden="false" customHeight="true" outlineLevel="0" collapsed="false">
      <c r="A75" s="22" t="s">
        <v>584</v>
      </c>
      <c r="B75" s="63" t="s">
        <v>585</v>
      </c>
      <c r="C75" s="63"/>
      <c r="D75" s="63"/>
      <c r="E75" s="7" t="s">
        <v>586</v>
      </c>
      <c r="F75" s="7"/>
      <c r="G75" s="7"/>
    </row>
    <row r="76" customFormat="false" ht="23.85" hidden="false" customHeight="true" outlineLevel="0" collapsed="false">
      <c r="A76" s="64" t="s">
        <v>587</v>
      </c>
      <c r="B76" s="65" t="s">
        <v>588</v>
      </c>
      <c r="C76" s="65"/>
      <c r="D76" s="65"/>
      <c r="E76" s="18" t="s">
        <v>589</v>
      </c>
      <c r="F76" s="18"/>
      <c r="G76" s="18"/>
    </row>
  </sheetData>
  <mergeCells count="66">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A45:G45"/>
    <mergeCell ref="B49:C49"/>
    <mergeCell ref="B50:C50"/>
    <mergeCell ref="B54:D54"/>
    <mergeCell ref="B55:D55"/>
    <mergeCell ref="B56:D56"/>
    <mergeCell ref="B57:D57"/>
    <mergeCell ref="B58:D58"/>
    <mergeCell ref="B59:D59"/>
    <mergeCell ref="B60:D60"/>
    <mergeCell ref="B61:D61"/>
    <mergeCell ref="B62:D62"/>
    <mergeCell ref="B63:D63"/>
    <mergeCell ref="A64:G64"/>
    <mergeCell ref="B67:G67"/>
    <mergeCell ref="B68:G68"/>
    <mergeCell ref="B71:D71"/>
    <mergeCell ref="E71:G71"/>
    <mergeCell ref="B72:D72"/>
    <mergeCell ref="E72:G72"/>
    <mergeCell ref="B73:D73"/>
    <mergeCell ref="E73:G73"/>
    <mergeCell ref="B74:D74"/>
    <mergeCell ref="E74:G74"/>
    <mergeCell ref="B75:D75"/>
    <mergeCell ref="E75:G75"/>
    <mergeCell ref="B76:D76"/>
    <mergeCell ref="E76:G76"/>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54:B63" type="list">
      <formula1>"Met,Partial,Not started,Not met,Not applicable"</formula1>
      <formula2>0</formula2>
    </dataValidation>
    <dataValidation allowBlank="true" error="Pick a value from the list." errorStyle="stop" operator="between" showDropDown="false" showErrorMessage="false" showInputMessage="false" sqref="B43:C44"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590</v>
      </c>
      <c r="B1" s="1"/>
      <c r="C1" s="1"/>
      <c r="D1" s="1"/>
      <c r="E1" s="1"/>
      <c r="F1" s="1"/>
      <c r="G1" s="1"/>
    </row>
    <row r="2" customFormat="false" ht="15" hidden="false" customHeight="false" outlineLevel="0" collapsed="false">
      <c r="A2" s="2" t="s">
        <v>452</v>
      </c>
      <c r="B2" s="2"/>
      <c r="C2" s="2"/>
      <c r="D2" s="2"/>
      <c r="E2" s="2"/>
      <c r="F2" s="2"/>
      <c r="G2" s="2"/>
    </row>
    <row r="4" customFormat="false" ht="18" hidden="false" customHeight="true" outlineLevel="0" collapsed="false">
      <c r="A4" s="3" t="s">
        <v>453</v>
      </c>
      <c r="B4" s="4"/>
      <c r="C4" s="4"/>
      <c r="D4" s="4"/>
      <c r="E4" s="4"/>
      <c r="F4" s="4"/>
      <c r="G4" s="4"/>
    </row>
    <row r="5" customFormat="false" ht="15" hidden="false" customHeight="true" outlineLevel="0" collapsed="false">
      <c r="A5" s="22" t="s">
        <v>454</v>
      </c>
      <c r="B5" s="63" t="s">
        <v>245</v>
      </c>
      <c r="C5" s="63"/>
      <c r="D5" s="63"/>
      <c r="E5" s="7"/>
      <c r="F5" s="7"/>
      <c r="G5" s="7"/>
    </row>
    <row r="6" customFormat="false" ht="15" hidden="false" customHeight="true" outlineLevel="0" collapsed="false">
      <c r="A6" s="64" t="s">
        <v>455</v>
      </c>
      <c r="B6" s="65" t="s">
        <v>591</v>
      </c>
      <c r="C6" s="65"/>
      <c r="D6" s="65"/>
      <c r="E6" s="18" t="s">
        <v>457</v>
      </c>
      <c r="F6" s="18"/>
      <c r="G6" s="18"/>
    </row>
    <row r="7" customFormat="false" ht="15" hidden="false" customHeight="true" outlineLevel="0" collapsed="false">
      <c r="A7" s="22" t="s">
        <v>458</v>
      </c>
      <c r="B7" s="63" t="s">
        <v>459</v>
      </c>
      <c r="C7" s="63"/>
      <c r="D7" s="63"/>
      <c r="E7" s="7" t="s">
        <v>460</v>
      </c>
      <c r="F7" s="7"/>
      <c r="G7" s="7"/>
    </row>
    <row r="8" customFormat="false" ht="15" hidden="false" customHeight="true" outlineLevel="0" collapsed="false">
      <c r="A8" s="64" t="s">
        <v>461</v>
      </c>
      <c r="B8" s="65" t="s">
        <v>462</v>
      </c>
      <c r="C8" s="65"/>
      <c r="D8" s="65"/>
      <c r="E8" s="18" t="s">
        <v>460</v>
      </c>
      <c r="F8" s="18"/>
      <c r="G8" s="18"/>
    </row>
    <row r="9" customFormat="false" ht="15" hidden="false" customHeight="true" outlineLevel="0" collapsed="false">
      <c r="A9" s="22" t="s">
        <v>463</v>
      </c>
      <c r="B9" s="63" t="s">
        <v>464</v>
      </c>
      <c r="C9" s="63"/>
      <c r="D9" s="63"/>
      <c r="E9" s="7" t="s">
        <v>460</v>
      </c>
      <c r="F9" s="7"/>
      <c r="G9" s="7"/>
    </row>
    <row r="10" customFormat="false" ht="15" hidden="false" customHeight="true" outlineLevel="0" collapsed="false">
      <c r="A10" s="64" t="s">
        <v>237</v>
      </c>
      <c r="B10" s="66" t="n">
        <v>96000</v>
      </c>
      <c r="C10" s="66"/>
      <c r="D10" s="66"/>
      <c r="E10" s="18" t="s">
        <v>592</v>
      </c>
      <c r="F10" s="18"/>
      <c r="G10" s="18"/>
    </row>
    <row r="11" customFormat="false" ht="15" hidden="false" customHeight="true" outlineLevel="0" collapsed="false">
      <c r="A11" s="22" t="s">
        <v>466</v>
      </c>
      <c r="B11" s="63" t="n">
        <v>4</v>
      </c>
      <c r="C11" s="63"/>
      <c r="D11" s="63"/>
      <c r="E11" s="7" t="s">
        <v>593</v>
      </c>
      <c r="F11" s="7"/>
      <c r="G11" s="7"/>
    </row>
    <row r="12" customFormat="false" ht="35.05" hidden="false" customHeight="true" outlineLevel="0" collapsed="false">
      <c r="A12" s="64" t="s">
        <v>468</v>
      </c>
      <c r="B12" s="65" t="s">
        <v>594</v>
      </c>
      <c r="C12" s="65"/>
      <c r="D12" s="65"/>
      <c r="E12" s="18"/>
      <c r="F12" s="18"/>
      <c r="G12" s="18"/>
    </row>
    <row r="13" customFormat="false" ht="15" hidden="false" customHeight="true" outlineLevel="0" collapsed="false">
      <c r="A13" s="22" t="s">
        <v>470</v>
      </c>
      <c r="B13" s="63" t="s">
        <v>471</v>
      </c>
      <c r="C13" s="63"/>
      <c r="D13" s="63"/>
      <c r="E13" s="7"/>
      <c r="F13" s="7"/>
      <c r="G13" s="7"/>
    </row>
    <row r="14" customFormat="false" ht="15" hidden="false" customHeight="true" outlineLevel="0" collapsed="false">
      <c r="A14" s="64" t="s">
        <v>243</v>
      </c>
      <c r="B14" s="65" t="s">
        <v>263</v>
      </c>
      <c r="C14" s="65"/>
      <c r="D14" s="65"/>
      <c r="E14" s="18" t="s">
        <v>472</v>
      </c>
      <c r="F14" s="18"/>
      <c r="G14" s="18"/>
    </row>
    <row r="15" customFormat="false" ht="35.05" hidden="false" customHeight="true" outlineLevel="0" collapsed="false">
      <c r="A15" s="22" t="s">
        <v>473</v>
      </c>
      <c r="B15" s="63" t="s">
        <v>595</v>
      </c>
      <c r="C15" s="63"/>
      <c r="D15" s="63"/>
      <c r="E15" s="7" t="s">
        <v>475</v>
      </c>
      <c r="F15" s="7"/>
      <c r="G15" s="7"/>
    </row>
    <row r="17" customFormat="false" ht="18" hidden="false" customHeight="true" outlineLevel="0" collapsed="false">
      <c r="A17" s="3" t="s">
        <v>476</v>
      </c>
      <c r="B17" s="4"/>
      <c r="C17" s="4"/>
      <c r="D17" s="4"/>
      <c r="E17" s="4"/>
      <c r="F17" s="4"/>
      <c r="G17" s="4"/>
    </row>
    <row r="18" customFormat="false" ht="15" hidden="false" customHeight="false" outlineLevel="0" collapsed="false">
      <c r="A18" s="2" t="s">
        <v>477</v>
      </c>
      <c r="B18" s="2"/>
      <c r="C18" s="2"/>
      <c r="D18" s="2"/>
      <c r="E18" s="2"/>
      <c r="F18" s="2"/>
      <c r="G18" s="2"/>
    </row>
    <row r="19" customFormat="false" ht="30" hidden="false" customHeight="true" outlineLevel="0" collapsed="false">
      <c r="A19" s="6" t="s">
        <v>165</v>
      </c>
      <c r="B19" s="6" t="s">
        <v>478</v>
      </c>
      <c r="C19" s="6" t="s">
        <v>166</v>
      </c>
      <c r="D19" s="6" t="s">
        <v>479</v>
      </c>
      <c r="E19" s="6" t="s">
        <v>480</v>
      </c>
      <c r="F19" s="6" t="s">
        <v>284</v>
      </c>
      <c r="G19" s="6" t="s">
        <v>481</v>
      </c>
    </row>
    <row r="20" customFormat="false" ht="57.75" hidden="false" customHeight="true" outlineLevel="0" collapsed="false">
      <c r="A20" s="7" t="s">
        <v>168</v>
      </c>
      <c r="B20" s="67" t="n">
        <v>3</v>
      </c>
      <c r="C20" s="68" t="n">
        <f aca="false">'01 Scoring Model'!$B$6</f>
        <v>0.1</v>
      </c>
      <c r="D20" s="69" t="n">
        <f aca="false">IF(B20="","",B20*C20)</f>
        <v>0.3</v>
      </c>
      <c r="E20" s="7" t="s">
        <v>596</v>
      </c>
      <c r="F20" s="7" t="s">
        <v>288</v>
      </c>
      <c r="G20" s="7" t="s">
        <v>597</v>
      </c>
    </row>
    <row r="21" customFormat="false" ht="57.75" hidden="false" customHeight="true" outlineLevel="0" collapsed="false">
      <c r="A21" s="18" t="s">
        <v>170</v>
      </c>
      <c r="B21" s="70" t="n">
        <v>4</v>
      </c>
      <c r="C21" s="71" t="n">
        <f aca="false">'01 Scoring Model'!$B$7</f>
        <v>0.35</v>
      </c>
      <c r="D21" s="72" t="n">
        <f aca="false">IF(B21="","",B21*C21)</f>
        <v>1.4</v>
      </c>
      <c r="E21" s="18" t="s">
        <v>598</v>
      </c>
      <c r="F21" s="18" t="s">
        <v>485</v>
      </c>
      <c r="G21" s="18" t="s">
        <v>599</v>
      </c>
    </row>
    <row r="22" customFormat="false" ht="57.75" hidden="false" customHeight="true" outlineLevel="0" collapsed="false">
      <c r="A22" s="7" t="s">
        <v>172</v>
      </c>
      <c r="B22" s="67" t="n">
        <v>5</v>
      </c>
      <c r="C22" s="68" t="n">
        <f aca="false">'01 Scoring Model'!$B$8</f>
        <v>0.15</v>
      </c>
      <c r="D22" s="69" t="n">
        <f aca="false">IF(B22="","",B22*C22)</f>
        <v>0.75</v>
      </c>
      <c r="E22" s="7" t="s">
        <v>600</v>
      </c>
      <c r="F22" s="7" t="s">
        <v>288</v>
      </c>
      <c r="G22" s="7" t="s">
        <v>601</v>
      </c>
    </row>
    <row r="23" customFormat="false" ht="57.75" hidden="false" customHeight="true" outlineLevel="0" collapsed="false">
      <c r="A23" s="18" t="s">
        <v>174</v>
      </c>
      <c r="B23" s="70" t="n">
        <v>4</v>
      </c>
      <c r="C23" s="71" t="n">
        <f aca="false">'01 Scoring Model'!$B$9</f>
        <v>0.1</v>
      </c>
      <c r="D23" s="72" t="n">
        <f aca="false">IF(B23="","",B23*C23)</f>
        <v>0.4</v>
      </c>
      <c r="E23" s="18" t="s">
        <v>602</v>
      </c>
      <c r="F23" s="18" t="s">
        <v>288</v>
      </c>
      <c r="G23" s="18" t="s">
        <v>603</v>
      </c>
    </row>
    <row r="24" customFormat="false" ht="57.75" hidden="false" customHeight="true" outlineLevel="0" collapsed="false">
      <c r="A24" s="7" t="s">
        <v>176</v>
      </c>
      <c r="B24" s="67" t="n">
        <v>5</v>
      </c>
      <c r="C24" s="68" t="n">
        <f aca="false">'01 Scoring Model'!$B$10</f>
        <v>0.05</v>
      </c>
      <c r="D24" s="69" t="n">
        <f aca="false">IF(B24="","",B24*C24)</f>
        <v>0.25</v>
      </c>
      <c r="E24" s="7" t="s">
        <v>604</v>
      </c>
      <c r="F24" s="7" t="s">
        <v>326</v>
      </c>
      <c r="G24" s="7" t="s">
        <v>605</v>
      </c>
    </row>
    <row r="25" customFormat="false" ht="57.75" hidden="false" customHeight="true" outlineLevel="0" collapsed="false">
      <c r="A25" s="18" t="s">
        <v>178</v>
      </c>
      <c r="B25" s="70" t="n">
        <v>4</v>
      </c>
      <c r="C25" s="71" t="n">
        <f aca="false">'01 Scoring Model'!$B$11</f>
        <v>0.15</v>
      </c>
      <c r="D25" s="72" t="n">
        <f aca="false">IF(B25="","",B25*C25)</f>
        <v>0.6</v>
      </c>
      <c r="E25" s="18" t="s">
        <v>606</v>
      </c>
      <c r="F25" s="18" t="s">
        <v>340</v>
      </c>
      <c r="G25" s="18" t="s">
        <v>607</v>
      </c>
    </row>
    <row r="26" customFormat="false" ht="57.75" hidden="false" customHeight="true" outlineLevel="0" collapsed="false">
      <c r="A26" s="7" t="s">
        <v>180</v>
      </c>
      <c r="B26" s="67" t="n">
        <v>4</v>
      </c>
      <c r="C26" s="68" t="n">
        <f aca="false">'01 Scoring Model'!$B$12</f>
        <v>0.1</v>
      </c>
      <c r="D26" s="69" t="n">
        <f aca="false">IF(B26="","",B26*C26)</f>
        <v>0.4</v>
      </c>
      <c r="E26" s="7" t="s">
        <v>608</v>
      </c>
      <c r="F26" s="7" t="s">
        <v>494</v>
      </c>
      <c r="G26" s="7" t="s">
        <v>609</v>
      </c>
    </row>
    <row r="27" customFormat="false" ht="15" hidden="false" customHeight="true" outlineLevel="0" collapsed="false">
      <c r="A27" s="40" t="s">
        <v>498</v>
      </c>
      <c r="B27" s="42"/>
      <c r="C27" s="42"/>
      <c r="D27" s="73" t="n">
        <f aca="false">IF(COUNT(B20:B26)=0,"",ROUND(SUM(D20:D26),2))</f>
        <v>4.1</v>
      </c>
      <c r="E27" s="40" t="s">
        <v>499</v>
      </c>
      <c r="F27" s="40"/>
      <c r="G27" s="40"/>
    </row>
    <row r="29" customFormat="false" ht="18" hidden="false" customHeight="true" outlineLevel="0" collapsed="false">
      <c r="A29" s="3" t="s">
        <v>500</v>
      </c>
      <c r="B29" s="4"/>
      <c r="C29" s="4"/>
      <c r="D29" s="4"/>
      <c r="E29" s="4"/>
      <c r="F29" s="4"/>
      <c r="G29" s="4"/>
    </row>
    <row r="30" customFormat="false" ht="30" hidden="false" customHeight="true" outlineLevel="0" collapsed="false">
      <c r="A30" s="6" t="s">
        <v>501</v>
      </c>
      <c r="B30" s="6"/>
      <c r="C30" s="6"/>
      <c r="D30" s="6"/>
      <c r="E30" s="6" t="s">
        <v>502</v>
      </c>
      <c r="F30" s="6"/>
      <c r="G30" s="6"/>
    </row>
    <row r="31" customFormat="false" ht="15" hidden="false" customHeight="true" outlineLevel="0" collapsed="false">
      <c r="A31" s="7" t="s">
        <v>610</v>
      </c>
      <c r="B31" s="7"/>
      <c r="C31" s="7"/>
      <c r="D31" s="7"/>
      <c r="E31" s="7" t="s">
        <v>611</v>
      </c>
      <c r="F31" s="7"/>
      <c r="G31" s="7"/>
    </row>
    <row r="32" customFormat="false" ht="15" hidden="false" customHeight="true" outlineLevel="0" collapsed="false">
      <c r="A32" s="18" t="s">
        <v>612</v>
      </c>
      <c r="B32" s="18"/>
      <c r="C32" s="18"/>
      <c r="D32" s="18"/>
      <c r="E32" s="18" t="s">
        <v>613</v>
      </c>
      <c r="F32" s="18"/>
      <c r="G32" s="18"/>
    </row>
    <row r="33" customFormat="false" ht="15" hidden="false" customHeight="true" outlineLevel="0" collapsed="false">
      <c r="A33" s="7" t="s">
        <v>614</v>
      </c>
      <c r="B33" s="7"/>
      <c r="C33" s="7"/>
      <c r="D33" s="7"/>
      <c r="E33" s="7"/>
      <c r="F33" s="7"/>
      <c r="G33" s="7"/>
    </row>
    <row r="34" customFormat="false" ht="15" hidden="false" customHeight="true" outlineLevel="0" collapsed="false">
      <c r="A34" s="18" t="s">
        <v>615</v>
      </c>
      <c r="B34" s="18"/>
      <c r="C34" s="18"/>
      <c r="D34" s="18"/>
      <c r="E34" s="18"/>
      <c r="F34" s="18"/>
      <c r="G34" s="18"/>
    </row>
    <row r="35" customFormat="false" ht="15" hidden="false" customHeight="true" outlineLevel="0" collapsed="false">
      <c r="A35" s="7" t="s">
        <v>616</v>
      </c>
      <c r="B35" s="7"/>
      <c r="C35" s="7"/>
      <c r="D35" s="7"/>
      <c r="E35" s="7"/>
      <c r="F35" s="7"/>
      <c r="G35" s="7"/>
    </row>
    <row r="37" customFormat="false" ht="18" hidden="false" customHeight="true" outlineLevel="0" collapsed="false">
      <c r="A37" s="3" t="s">
        <v>509</v>
      </c>
      <c r="B37" s="4"/>
      <c r="C37" s="4"/>
      <c r="D37" s="4"/>
      <c r="E37" s="4"/>
      <c r="F37" s="4"/>
      <c r="G37" s="4"/>
    </row>
    <row r="38" customFormat="false" ht="30" hidden="false" customHeight="true" outlineLevel="0" collapsed="false">
      <c r="A38" s="6" t="s">
        <v>281</v>
      </c>
      <c r="B38" s="6" t="s">
        <v>510</v>
      </c>
      <c r="C38" s="6"/>
      <c r="D38" s="6"/>
      <c r="E38" s="6" t="s">
        <v>511</v>
      </c>
      <c r="F38" s="6" t="s">
        <v>284</v>
      </c>
      <c r="G38" s="6" t="s">
        <v>512</v>
      </c>
    </row>
    <row r="39" customFormat="false" ht="23.85" hidden="false" customHeight="true" outlineLevel="0" collapsed="false">
      <c r="A39" s="7" t="s">
        <v>513</v>
      </c>
      <c r="B39" s="7" t="s">
        <v>617</v>
      </c>
      <c r="C39" s="7"/>
      <c r="D39" s="7"/>
      <c r="E39" s="7" t="s">
        <v>618</v>
      </c>
      <c r="F39" s="7" t="s">
        <v>288</v>
      </c>
      <c r="G39" s="7" t="s">
        <v>291</v>
      </c>
    </row>
    <row r="40" customFormat="false" ht="15" hidden="false" customHeight="true" outlineLevel="0" collapsed="false">
      <c r="A40" s="18" t="s">
        <v>516</v>
      </c>
      <c r="B40" s="18" t="s">
        <v>517</v>
      </c>
      <c r="C40" s="18"/>
      <c r="D40" s="18"/>
      <c r="E40" s="18" t="s">
        <v>619</v>
      </c>
      <c r="F40" s="18" t="s">
        <v>295</v>
      </c>
      <c r="G40" s="18" t="s">
        <v>291</v>
      </c>
    </row>
    <row r="41" customFormat="false" ht="15" hidden="false" customHeight="true" outlineLevel="0" collapsed="false">
      <c r="A41" s="7" t="s">
        <v>370</v>
      </c>
      <c r="B41" s="7" t="s">
        <v>620</v>
      </c>
      <c r="C41" s="7"/>
      <c r="D41" s="7"/>
      <c r="E41" s="7" t="s">
        <v>621</v>
      </c>
      <c r="F41" s="7" t="s">
        <v>373</v>
      </c>
      <c r="G41" s="7" t="s">
        <v>320</v>
      </c>
    </row>
    <row r="43" customFormat="false" ht="18" hidden="false" customHeight="true" outlineLevel="0" collapsed="false">
      <c r="A43" s="3" t="s">
        <v>519</v>
      </c>
      <c r="B43" s="4"/>
      <c r="C43" s="4"/>
      <c r="D43" s="4"/>
      <c r="E43" s="4"/>
      <c r="F43" s="4"/>
      <c r="G43" s="4"/>
    </row>
    <row r="44" customFormat="false" ht="30" hidden="false" customHeight="true" outlineLevel="0" collapsed="false">
      <c r="A44" s="6" t="s">
        <v>311</v>
      </c>
      <c r="B44" s="6" t="s">
        <v>312</v>
      </c>
      <c r="C44" s="6" t="s">
        <v>313</v>
      </c>
      <c r="D44" s="6" t="s">
        <v>314</v>
      </c>
      <c r="E44" s="6" t="s">
        <v>315</v>
      </c>
      <c r="F44" s="6" t="s">
        <v>284</v>
      </c>
      <c r="G44" s="6" t="s">
        <v>520</v>
      </c>
    </row>
    <row r="45" customFormat="false" ht="23.85" hidden="false" customHeight="false" outlineLevel="0" collapsed="false">
      <c r="A45" s="7" t="s">
        <v>337</v>
      </c>
      <c r="B45" s="47" t="s">
        <v>291</v>
      </c>
      <c r="C45" s="47" t="s">
        <v>338</v>
      </c>
      <c r="D45" s="51" t="n">
        <v>8</v>
      </c>
      <c r="E45" s="7" t="s">
        <v>339</v>
      </c>
      <c r="F45" s="7" t="s">
        <v>340</v>
      </c>
      <c r="G45" s="7" t="s">
        <v>622</v>
      </c>
    </row>
    <row r="46" customFormat="false" ht="15" hidden="false" customHeight="false" outlineLevel="0" collapsed="false">
      <c r="A46" s="18" t="s">
        <v>342</v>
      </c>
      <c r="B46" s="50" t="s">
        <v>320</v>
      </c>
      <c r="C46" s="50" t="s">
        <v>291</v>
      </c>
      <c r="D46" s="74" t="n">
        <v>6</v>
      </c>
      <c r="E46" s="18" t="s">
        <v>343</v>
      </c>
      <c r="F46" s="18" t="s">
        <v>340</v>
      </c>
      <c r="G46" s="18" t="s">
        <v>623</v>
      </c>
    </row>
    <row r="47" customFormat="false" ht="23.85" hidden="false" customHeight="false" outlineLevel="0" collapsed="false">
      <c r="A47" s="7" t="s">
        <v>354</v>
      </c>
      <c r="B47" s="47" t="s">
        <v>355</v>
      </c>
      <c r="C47" s="47" t="s">
        <v>338</v>
      </c>
      <c r="D47" s="51" t="n">
        <v>4</v>
      </c>
      <c r="E47" s="7" t="s">
        <v>356</v>
      </c>
      <c r="F47" s="7" t="s">
        <v>288</v>
      </c>
      <c r="G47" s="7" t="s">
        <v>357</v>
      </c>
    </row>
    <row r="48" customFormat="false" ht="15" hidden="false" customHeight="false" outlineLevel="0" collapsed="false">
      <c r="A48" s="2" t="s">
        <v>522</v>
      </c>
      <c r="B48" s="2"/>
      <c r="C48" s="2"/>
      <c r="D48" s="2"/>
      <c r="E48" s="2"/>
      <c r="F48" s="2"/>
      <c r="G48" s="2"/>
    </row>
    <row r="50" customFormat="false" ht="18" hidden="false" customHeight="true" outlineLevel="0" collapsed="false">
      <c r="A50" s="3" t="s">
        <v>523</v>
      </c>
      <c r="B50" s="4"/>
      <c r="C50" s="4"/>
      <c r="D50" s="4"/>
      <c r="E50" s="4"/>
      <c r="F50" s="4"/>
      <c r="G50" s="4"/>
    </row>
    <row r="51" customFormat="false" ht="30" hidden="false" customHeight="true" outlineLevel="0" collapsed="false">
      <c r="A51" s="6" t="s">
        <v>524</v>
      </c>
      <c r="B51" s="6" t="s">
        <v>525</v>
      </c>
      <c r="C51" s="6"/>
      <c r="D51" s="6" t="s">
        <v>526</v>
      </c>
      <c r="E51" s="6" t="s">
        <v>527</v>
      </c>
      <c r="F51" s="6" t="s">
        <v>528</v>
      </c>
      <c r="G51" s="6"/>
    </row>
    <row r="52" customFormat="false" ht="23.85" hidden="false" customHeight="true" outlineLevel="0" collapsed="false">
      <c r="A52" s="7" t="s">
        <v>624</v>
      </c>
      <c r="B52" s="7" t="s">
        <v>625</v>
      </c>
      <c r="C52" s="7"/>
      <c r="D52" s="7" t="s">
        <v>626</v>
      </c>
      <c r="E52" s="7" t="s">
        <v>627</v>
      </c>
      <c r="F52" s="7" t="s">
        <v>628</v>
      </c>
      <c r="G52" s="7"/>
    </row>
    <row r="53" customFormat="false" ht="23.85" hidden="false" customHeight="true" outlineLevel="0" collapsed="false">
      <c r="A53" s="18" t="s">
        <v>629</v>
      </c>
      <c r="B53" s="18" t="s">
        <v>630</v>
      </c>
      <c r="C53" s="18"/>
      <c r="D53" s="18" t="s">
        <v>631</v>
      </c>
      <c r="E53" s="18" t="s">
        <v>632</v>
      </c>
      <c r="F53" s="18" t="s">
        <v>633</v>
      </c>
      <c r="G53" s="18"/>
    </row>
    <row r="54" customFormat="false" ht="15" hidden="false" customHeight="true" outlineLevel="0" collapsed="false">
      <c r="A54" s="7" t="s">
        <v>634</v>
      </c>
      <c r="B54" s="7" t="s">
        <v>374</v>
      </c>
      <c r="C54" s="7"/>
      <c r="D54" s="7" t="s">
        <v>635</v>
      </c>
      <c r="E54" s="7" t="s">
        <v>636</v>
      </c>
      <c r="F54" s="7" t="s">
        <v>637</v>
      </c>
      <c r="G54" s="7"/>
    </row>
    <row r="56" customFormat="false" ht="18" hidden="false" customHeight="true" outlineLevel="0" collapsed="false">
      <c r="A56" s="3" t="s">
        <v>537</v>
      </c>
      <c r="B56" s="4"/>
      <c r="C56" s="4"/>
      <c r="D56" s="4"/>
      <c r="E56" s="4"/>
      <c r="F56" s="4"/>
      <c r="G56" s="4"/>
    </row>
    <row r="57" customFormat="false" ht="30" hidden="false" customHeight="true" outlineLevel="0" collapsed="false">
      <c r="A57" s="6" t="s">
        <v>538</v>
      </c>
      <c r="B57" s="6" t="s">
        <v>115</v>
      </c>
      <c r="C57" s="6"/>
      <c r="D57" s="6"/>
      <c r="E57" s="6" t="s">
        <v>539</v>
      </c>
      <c r="F57" s="6" t="s">
        <v>540</v>
      </c>
      <c r="G57" s="6" t="s">
        <v>541</v>
      </c>
    </row>
    <row r="58" customFormat="false" ht="15" hidden="false" customHeight="false" outlineLevel="0" collapsed="false">
      <c r="A58" s="7" t="s">
        <v>542</v>
      </c>
      <c r="B58" s="49" t="s">
        <v>543</v>
      </c>
      <c r="C58" s="49"/>
      <c r="D58" s="49"/>
      <c r="E58" s="7" t="s">
        <v>638</v>
      </c>
      <c r="F58" s="7" t="s">
        <v>494</v>
      </c>
      <c r="G58" s="7"/>
    </row>
    <row r="59" customFormat="false" ht="15" hidden="false" customHeight="false" outlineLevel="0" collapsed="false">
      <c r="A59" s="18" t="s">
        <v>545</v>
      </c>
      <c r="B59" s="49" t="s">
        <v>543</v>
      </c>
      <c r="C59" s="49"/>
      <c r="D59" s="49"/>
      <c r="E59" s="18" t="s">
        <v>639</v>
      </c>
      <c r="F59" s="18" t="s">
        <v>494</v>
      </c>
      <c r="G59" s="18"/>
    </row>
    <row r="60" customFormat="false" ht="15" hidden="false" customHeight="false" outlineLevel="0" collapsed="false">
      <c r="A60" s="7" t="s">
        <v>547</v>
      </c>
      <c r="B60" s="49" t="s">
        <v>543</v>
      </c>
      <c r="C60" s="49"/>
      <c r="D60" s="49"/>
      <c r="E60" s="7" t="s">
        <v>640</v>
      </c>
      <c r="F60" s="7" t="s">
        <v>326</v>
      </c>
      <c r="G60" s="7"/>
    </row>
    <row r="61" customFormat="false" ht="23.85" hidden="false" customHeight="false" outlineLevel="0" collapsed="false">
      <c r="A61" s="18" t="s">
        <v>550</v>
      </c>
      <c r="B61" s="52" t="s">
        <v>551</v>
      </c>
      <c r="C61" s="52"/>
      <c r="D61" s="52"/>
      <c r="E61" s="18" t="s">
        <v>641</v>
      </c>
      <c r="F61" s="18" t="s">
        <v>288</v>
      </c>
      <c r="G61" s="18"/>
    </row>
    <row r="62" customFormat="false" ht="23.85" hidden="false" customHeight="false" outlineLevel="0" collapsed="false">
      <c r="A62" s="7" t="s">
        <v>553</v>
      </c>
      <c r="B62" s="49" t="s">
        <v>543</v>
      </c>
      <c r="C62" s="49"/>
      <c r="D62" s="49"/>
      <c r="E62" s="7" t="s">
        <v>642</v>
      </c>
      <c r="F62" s="7" t="s">
        <v>485</v>
      </c>
      <c r="G62" s="7"/>
    </row>
    <row r="63" customFormat="false" ht="15" hidden="false" customHeight="false" outlineLevel="0" collapsed="false">
      <c r="A63" s="18" t="s">
        <v>555</v>
      </c>
      <c r="B63" s="52" t="s">
        <v>551</v>
      </c>
      <c r="C63" s="52"/>
      <c r="D63" s="52"/>
      <c r="E63" s="18" t="s">
        <v>643</v>
      </c>
      <c r="F63" s="18" t="s">
        <v>340</v>
      </c>
      <c r="G63" s="18"/>
    </row>
    <row r="64" customFormat="false" ht="15" hidden="false" customHeight="false" outlineLevel="0" collapsed="false">
      <c r="A64" s="7" t="s">
        <v>558</v>
      </c>
      <c r="B64" s="49" t="s">
        <v>543</v>
      </c>
      <c r="C64" s="49"/>
      <c r="D64" s="49"/>
      <c r="E64" s="7" t="s">
        <v>644</v>
      </c>
      <c r="F64" s="7" t="s">
        <v>485</v>
      </c>
      <c r="G64" s="7"/>
    </row>
    <row r="65" customFormat="false" ht="15" hidden="false" customHeight="false" outlineLevel="0" collapsed="false">
      <c r="A65" s="18" t="s">
        <v>560</v>
      </c>
      <c r="B65" s="52" t="s">
        <v>551</v>
      </c>
      <c r="C65" s="52"/>
      <c r="D65" s="52"/>
      <c r="E65" s="18" t="s">
        <v>645</v>
      </c>
      <c r="F65" s="18" t="s">
        <v>494</v>
      </c>
      <c r="G65" s="18"/>
    </row>
    <row r="66" customFormat="false" ht="15" hidden="false" customHeight="false" outlineLevel="0" collapsed="false">
      <c r="A66" s="7" t="s">
        <v>562</v>
      </c>
      <c r="B66" s="75" t="s">
        <v>548</v>
      </c>
      <c r="C66" s="75"/>
      <c r="D66" s="75"/>
      <c r="E66" s="7" t="s">
        <v>646</v>
      </c>
      <c r="F66" s="7" t="s">
        <v>564</v>
      </c>
      <c r="G66" s="7"/>
    </row>
    <row r="67" customFormat="false" ht="23.85" hidden="false" customHeight="false" outlineLevel="0" collapsed="false">
      <c r="A67" s="18" t="s">
        <v>565</v>
      </c>
      <c r="B67" s="75" t="s">
        <v>548</v>
      </c>
      <c r="C67" s="75"/>
      <c r="D67" s="75"/>
      <c r="E67" s="18" t="s">
        <v>566</v>
      </c>
      <c r="F67" s="18" t="s">
        <v>494</v>
      </c>
      <c r="G67" s="18"/>
    </row>
    <row r="68" customFormat="false" ht="15" hidden="false" customHeight="false" outlineLevel="0" collapsed="false">
      <c r="A68" s="2" t="s">
        <v>567</v>
      </c>
      <c r="B68" s="2"/>
      <c r="C68" s="2"/>
      <c r="D68" s="2"/>
      <c r="E68" s="2"/>
      <c r="F68" s="2"/>
      <c r="G68" s="2"/>
    </row>
    <row r="70" customFormat="false" ht="18" hidden="false" customHeight="true" outlineLevel="0" collapsed="false">
      <c r="A70" s="3" t="s">
        <v>568</v>
      </c>
      <c r="B70" s="4"/>
      <c r="C70" s="4"/>
      <c r="D70" s="4"/>
      <c r="E70" s="4"/>
      <c r="F70" s="4"/>
      <c r="G70" s="4"/>
    </row>
    <row r="71" customFormat="false" ht="15" hidden="false" customHeight="true" outlineLevel="0" collapsed="false">
      <c r="A71" s="7" t="s">
        <v>569</v>
      </c>
      <c r="B71" s="7" t="s">
        <v>371</v>
      </c>
      <c r="C71" s="7"/>
      <c r="D71" s="7"/>
      <c r="E71" s="7"/>
      <c r="F71" s="7"/>
      <c r="G71" s="7"/>
    </row>
    <row r="72" customFormat="false" ht="15" hidden="false" customHeight="true" outlineLevel="0" collapsed="false">
      <c r="A72" s="18" t="s">
        <v>570</v>
      </c>
      <c r="B72" s="18" t="s">
        <v>647</v>
      </c>
      <c r="C72" s="18"/>
      <c r="D72" s="18"/>
      <c r="E72" s="18"/>
      <c r="F72" s="18"/>
      <c r="G72" s="18"/>
    </row>
    <row r="74" customFormat="false" ht="18" hidden="false" customHeight="true" outlineLevel="0" collapsed="false">
      <c r="A74" s="3" t="s">
        <v>572</v>
      </c>
      <c r="B74" s="4"/>
      <c r="C74" s="4"/>
      <c r="D74" s="4"/>
      <c r="E74" s="4"/>
      <c r="F74" s="4"/>
      <c r="G74" s="4"/>
    </row>
    <row r="75" customFormat="false" ht="15" hidden="false" customHeight="true" outlineLevel="0" collapsed="false">
      <c r="A75" s="22" t="s">
        <v>573</v>
      </c>
      <c r="B75" s="63" t="s">
        <v>638</v>
      </c>
      <c r="C75" s="63"/>
      <c r="D75" s="63"/>
      <c r="E75" s="7" t="s">
        <v>575</v>
      </c>
      <c r="F75" s="7"/>
      <c r="G75" s="7"/>
    </row>
    <row r="76" customFormat="false" ht="23.85" hidden="false" customHeight="true" outlineLevel="0" collapsed="false">
      <c r="A76" s="64" t="s">
        <v>576</v>
      </c>
      <c r="B76" s="65" t="s">
        <v>648</v>
      </c>
      <c r="C76" s="65"/>
      <c r="D76" s="65"/>
      <c r="E76" s="18" t="s">
        <v>578</v>
      </c>
      <c r="F76" s="18"/>
      <c r="G76" s="18"/>
    </row>
    <row r="77" customFormat="false" ht="35.05" hidden="false" customHeight="true" outlineLevel="0" collapsed="false">
      <c r="A77" s="22" t="s">
        <v>579</v>
      </c>
      <c r="B77" s="63" t="s">
        <v>649</v>
      </c>
      <c r="C77" s="63"/>
      <c r="D77" s="63"/>
      <c r="E77" s="7" t="s">
        <v>581</v>
      </c>
      <c r="F77" s="7"/>
      <c r="G77" s="7"/>
    </row>
    <row r="78" customFormat="false" ht="15" hidden="false" customHeight="true" outlineLevel="0" collapsed="false">
      <c r="A78" s="64" t="s">
        <v>582</v>
      </c>
      <c r="B78" s="65" t="s">
        <v>459</v>
      </c>
      <c r="C78" s="65"/>
      <c r="D78" s="65"/>
      <c r="E78" s="18" t="s">
        <v>583</v>
      </c>
      <c r="F78" s="18"/>
      <c r="G78" s="18"/>
    </row>
    <row r="79" customFormat="false" ht="15" hidden="false" customHeight="true" outlineLevel="0" collapsed="false">
      <c r="A79" s="22" t="s">
        <v>584</v>
      </c>
      <c r="B79" s="63" t="s">
        <v>650</v>
      </c>
      <c r="C79" s="63"/>
      <c r="D79" s="63"/>
      <c r="E79" s="7" t="s">
        <v>586</v>
      </c>
      <c r="F79" s="7"/>
      <c r="G79" s="7"/>
    </row>
    <row r="80" customFormat="false" ht="23.85" hidden="false" customHeight="true" outlineLevel="0" collapsed="false">
      <c r="A80" s="64" t="s">
        <v>587</v>
      </c>
      <c r="B80" s="65" t="s">
        <v>651</v>
      </c>
      <c r="C80" s="65"/>
      <c r="D80" s="65"/>
      <c r="E80" s="18" t="s">
        <v>589</v>
      </c>
      <c r="F80" s="18"/>
      <c r="G80" s="18"/>
    </row>
  </sheetData>
  <mergeCells count="70">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A35:D35"/>
    <mergeCell ref="E35:G35"/>
    <mergeCell ref="B39:D39"/>
    <mergeCell ref="B40:D40"/>
    <mergeCell ref="B41:D41"/>
    <mergeCell ref="A48:G48"/>
    <mergeCell ref="B52:C52"/>
    <mergeCell ref="B53:C53"/>
    <mergeCell ref="B54:C54"/>
    <mergeCell ref="B58:D58"/>
    <mergeCell ref="B59:D59"/>
    <mergeCell ref="B60:D60"/>
    <mergeCell ref="B61:D61"/>
    <mergeCell ref="B62:D62"/>
    <mergeCell ref="B63:D63"/>
    <mergeCell ref="B64:D64"/>
    <mergeCell ref="B65:D65"/>
    <mergeCell ref="B66:D66"/>
    <mergeCell ref="B67:D67"/>
    <mergeCell ref="A68:G68"/>
    <mergeCell ref="B71:G71"/>
    <mergeCell ref="B72:G72"/>
    <mergeCell ref="B75:D75"/>
    <mergeCell ref="E75:G75"/>
    <mergeCell ref="B76:D76"/>
    <mergeCell ref="E76:G76"/>
    <mergeCell ref="B77:D77"/>
    <mergeCell ref="E77:G77"/>
    <mergeCell ref="B78:D78"/>
    <mergeCell ref="E78:G78"/>
    <mergeCell ref="B79:D79"/>
    <mergeCell ref="E79:G79"/>
    <mergeCell ref="B80:D80"/>
    <mergeCell ref="E80:G80"/>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58:B67" type="list">
      <formula1>"Met,Partial,Not started,Not met,Not applicable"</formula1>
      <formula2>0</formula2>
    </dataValidation>
    <dataValidation allowBlank="true" error="Pick a value from the list." errorStyle="stop" operator="between" showDropDown="false" showErrorMessage="false" showInputMessage="false" sqref="B45:C47"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652</v>
      </c>
      <c r="B1" s="1"/>
      <c r="C1" s="1"/>
      <c r="D1" s="1"/>
      <c r="E1" s="1"/>
      <c r="F1" s="1"/>
      <c r="G1" s="1"/>
    </row>
    <row r="2" customFormat="false" ht="15" hidden="false" customHeight="false" outlineLevel="0" collapsed="false">
      <c r="A2" s="2" t="s">
        <v>452</v>
      </c>
      <c r="B2" s="2"/>
      <c r="C2" s="2"/>
      <c r="D2" s="2"/>
      <c r="E2" s="2"/>
      <c r="F2" s="2"/>
      <c r="G2" s="2"/>
    </row>
    <row r="4" customFormat="false" ht="18" hidden="false" customHeight="true" outlineLevel="0" collapsed="false">
      <c r="A4" s="3" t="s">
        <v>453</v>
      </c>
      <c r="B4" s="4"/>
      <c r="C4" s="4"/>
      <c r="D4" s="4"/>
      <c r="E4" s="4"/>
      <c r="F4" s="4"/>
      <c r="G4" s="4"/>
    </row>
    <row r="5" customFormat="false" ht="15" hidden="false" customHeight="true" outlineLevel="0" collapsed="false">
      <c r="A5" s="22" t="s">
        <v>454</v>
      </c>
      <c r="B5" s="63" t="s">
        <v>246</v>
      </c>
      <c r="C5" s="63"/>
      <c r="D5" s="63"/>
      <c r="E5" s="7"/>
      <c r="F5" s="7"/>
      <c r="G5" s="7"/>
    </row>
    <row r="6" customFormat="false" ht="15" hidden="false" customHeight="true" outlineLevel="0" collapsed="false">
      <c r="A6" s="64" t="s">
        <v>455</v>
      </c>
      <c r="B6" s="65" t="s">
        <v>653</v>
      </c>
      <c r="C6" s="65"/>
      <c r="D6" s="65"/>
      <c r="E6" s="18" t="s">
        <v>457</v>
      </c>
      <c r="F6" s="18"/>
      <c r="G6" s="18"/>
    </row>
    <row r="7" customFormat="false" ht="15" hidden="false" customHeight="true" outlineLevel="0" collapsed="false">
      <c r="A7" s="22" t="s">
        <v>458</v>
      </c>
      <c r="B7" s="63" t="s">
        <v>459</v>
      </c>
      <c r="C7" s="63"/>
      <c r="D7" s="63"/>
      <c r="E7" s="7" t="s">
        <v>460</v>
      </c>
      <c r="F7" s="7"/>
      <c r="G7" s="7"/>
    </row>
    <row r="8" customFormat="false" ht="15" hidden="false" customHeight="true" outlineLevel="0" collapsed="false">
      <c r="A8" s="64" t="s">
        <v>461</v>
      </c>
      <c r="B8" s="65" t="s">
        <v>462</v>
      </c>
      <c r="C8" s="65"/>
      <c r="D8" s="65"/>
      <c r="E8" s="18" t="s">
        <v>460</v>
      </c>
      <c r="F8" s="18"/>
      <c r="G8" s="18"/>
    </row>
    <row r="9" customFormat="false" ht="15" hidden="false" customHeight="true" outlineLevel="0" collapsed="false">
      <c r="A9" s="22" t="s">
        <v>463</v>
      </c>
      <c r="B9" s="63" t="s">
        <v>464</v>
      </c>
      <c r="C9" s="63"/>
      <c r="D9" s="63"/>
      <c r="E9" s="7" t="s">
        <v>460</v>
      </c>
      <c r="F9" s="7"/>
      <c r="G9" s="7"/>
    </row>
    <row r="10" customFormat="false" ht="15" hidden="false" customHeight="true" outlineLevel="0" collapsed="false">
      <c r="A10" s="64" t="s">
        <v>237</v>
      </c>
      <c r="B10" s="66" t="n">
        <v>72000</v>
      </c>
      <c r="C10" s="66"/>
      <c r="D10" s="66"/>
      <c r="E10" s="18" t="s">
        <v>654</v>
      </c>
      <c r="F10" s="18"/>
      <c r="G10" s="18"/>
    </row>
    <row r="11" customFormat="false" ht="15" hidden="false" customHeight="true" outlineLevel="0" collapsed="false">
      <c r="A11" s="22" t="s">
        <v>466</v>
      </c>
      <c r="B11" s="63" t="n">
        <v>3</v>
      </c>
      <c r="C11" s="63"/>
      <c r="D11" s="63"/>
      <c r="E11" s="7" t="s">
        <v>655</v>
      </c>
      <c r="F11" s="7"/>
      <c r="G11" s="7"/>
    </row>
    <row r="12" customFormat="false" ht="35.05" hidden="false" customHeight="true" outlineLevel="0" collapsed="false">
      <c r="A12" s="64" t="s">
        <v>468</v>
      </c>
      <c r="B12" s="65" t="s">
        <v>656</v>
      </c>
      <c r="C12" s="65"/>
      <c r="D12" s="65"/>
      <c r="E12" s="18"/>
      <c r="F12" s="18"/>
      <c r="G12" s="18"/>
    </row>
    <row r="13" customFormat="false" ht="15" hidden="false" customHeight="true" outlineLevel="0" collapsed="false">
      <c r="A13" s="22" t="s">
        <v>470</v>
      </c>
      <c r="B13" s="63" t="s">
        <v>657</v>
      </c>
      <c r="C13" s="63"/>
      <c r="D13" s="63"/>
      <c r="E13" s="7"/>
      <c r="F13" s="7"/>
      <c r="G13" s="7"/>
    </row>
    <row r="14" customFormat="false" ht="15" hidden="false" customHeight="true" outlineLevel="0" collapsed="false">
      <c r="A14" s="64" t="s">
        <v>243</v>
      </c>
      <c r="B14" s="65" t="s">
        <v>268</v>
      </c>
      <c r="C14" s="65"/>
      <c r="D14" s="65"/>
      <c r="E14" s="18" t="s">
        <v>472</v>
      </c>
      <c r="F14" s="18"/>
      <c r="G14" s="18"/>
    </row>
    <row r="15" customFormat="false" ht="35.05" hidden="false" customHeight="true" outlineLevel="0" collapsed="false">
      <c r="A15" s="22" t="s">
        <v>473</v>
      </c>
      <c r="B15" s="63" t="s">
        <v>658</v>
      </c>
      <c r="C15" s="63"/>
      <c r="D15" s="63"/>
      <c r="E15" s="7" t="s">
        <v>475</v>
      </c>
      <c r="F15" s="7"/>
      <c r="G15" s="7"/>
    </row>
    <row r="17" customFormat="false" ht="18" hidden="false" customHeight="true" outlineLevel="0" collapsed="false">
      <c r="A17" s="3" t="s">
        <v>476</v>
      </c>
      <c r="B17" s="4"/>
      <c r="C17" s="4"/>
      <c r="D17" s="4"/>
      <c r="E17" s="4"/>
      <c r="F17" s="4"/>
      <c r="G17" s="4"/>
    </row>
    <row r="18" customFormat="false" ht="15" hidden="false" customHeight="false" outlineLevel="0" collapsed="false">
      <c r="A18" s="2" t="s">
        <v>477</v>
      </c>
      <c r="B18" s="2"/>
      <c r="C18" s="2"/>
      <c r="D18" s="2"/>
      <c r="E18" s="2"/>
      <c r="F18" s="2"/>
      <c r="G18" s="2"/>
    </row>
    <row r="19" customFormat="false" ht="30" hidden="false" customHeight="true" outlineLevel="0" collapsed="false">
      <c r="A19" s="6" t="s">
        <v>165</v>
      </c>
      <c r="B19" s="6" t="s">
        <v>478</v>
      </c>
      <c r="C19" s="6" t="s">
        <v>166</v>
      </c>
      <c r="D19" s="6" t="s">
        <v>479</v>
      </c>
      <c r="E19" s="6" t="s">
        <v>480</v>
      </c>
      <c r="F19" s="6" t="s">
        <v>284</v>
      </c>
      <c r="G19" s="6" t="s">
        <v>481</v>
      </c>
    </row>
    <row r="20" customFormat="false" ht="57.75" hidden="false" customHeight="true" outlineLevel="0" collapsed="false">
      <c r="A20" s="7" t="s">
        <v>168</v>
      </c>
      <c r="B20" s="67" t="n">
        <v>3</v>
      </c>
      <c r="C20" s="68" t="n">
        <f aca="false">'01 Scoring Model'!$B$6</f>
        <v>0.1</v>
      </c>
      <c r="D20" s="69" t="n">
        <f aca="false">IF(B20="","",B20*C20)</f>
        <v>0.3</v>
      </c>
      <c r="E20" s="7" t="s">
        <v>659</v>
      </c>
      <c r="F20" s="7" t="s">
        <v>288</v>
      </c>
      <c r="G20" s="7" t="s">
        <v>660</v>
      </c>
    </row>
    <row r="21" customFormat="false" ht="57.75" hidden="false" customHeight="true" outlineLevel="0" collapsed="false">
      <c r="A21" s="18" t="s">
        <v>170</v>
      </c>
      <c r="B21" s="70" t="n">
        <v>3</v>
      </c>
      <c r="C21" s="71" t="n">
        <f aca="false">'01 Scoring Model'!$B$7</f>
        <v>0.35</v>
      </c>
      <c r="D21" s="72" t="n">
        <f aca="false">IF(B21="","",B21*C21)</f>
        <v>1.05</v>
      </c>
      <c r="E21" s="18" t="s">
        <v>661</v>
      </c>
      <c r="F21" s="18" t="s">
        <v>485</v>
      </c>
      <c r="G21" s="18" t="s">
        <v>662</v>
      </c>
    </row>
    <row r="22" customFormat="false" ht="57.75" hidden="false" customHeight="true" outlineLevel="0" collapsed="false">
      <c r="A22" s="7" t="s">
        <v>172</v>
      </c>
      <c r="B22" s="67" t="n">
        <v>4</v>
      </c>
      <c r="C22" s="68" t="n">
        <f aca="false">'01 Scoring Model'!$B$8</f>
        <v>0.15</v>
      </c>
      <c r="D22" s="69" t="n">
        <f aca="false">IF(B22="","",B22*C22)</f>
        <v>0.6</v>
      </c>
      <c r="E22" s="7" t="s">
        <v>663</v>
      </c>
      <c r="F22" s="7" t="s">
        <v>288</v>
      </c>
      <c r="G22" s="7" t="s">
        <v>664</v>
      </c>
    </row>
    <row r="23" customFormat="false" ht="57.75" hidden="false" customHeight="true" outlineLevel="0" collapsed="false">
      <c r="A23" s="18" t="s">
        <v>174</v>
      </c>
      <c r="B23" s="70" t="n">
        <v>3</v>
      </c>
      <c r="C23" s="71" t="n">
        <f aca="false">'01 Scoring Model'!$B$9</f>
        <v>0.1</v>
      </c>
      <c r="D23" s="72" t="n">
        <f aca="false">IF(B23="","",B23*C23)</f>
        <v>0.3</v>
      </c>
      <c r="E23" s="18" t="s">
        <v>665</v>
      </c>
      <c r="F23" s="18" t="s">
        <v>340</v>
      </c>
      <c r="G23" s="18" t="s">
        <v>603</v>
      </c>
    </row>
    <row r="24" customFormat="false" ht="57.75" hidden="false" customHeight="true" outlineLevel="0" collapsed="false">
      <c r="A24" s="7" t="s">
        <v>176</v>
      </c>
      <c r="B24" s="67" t="n">
        <v>3</v>
      </c>
      <c r="C24" s="68" t="n">
        <f aca="false">'01 Scoring Model'!$B$10</f>
        <v>0.05</v>
      </c>
      <c r="D24" s="69" t="n">
        <f aca="false">IF(B24="","",B24*C24)</f>
        <v>0.15</v>
      </c>
      <c r="E24" s="7" t="s">
        <v>666</v>
      </c>
      <c r="F24" s="7" t="s">
        <v>326</v>
      </c>
      <c r="G24" s="7" t="s">
        <v>492</v>
      </c>
    </row>
    <row r="25" customFormat="false" ht="57.75" hidden="false" customHeight="true" outlineLevel="0" collapsed="false">
      <c r="A25" s="18" t="s">
        <v>178</v>
      </c>
      <c r="B25" s="70" t="n">
        <v>3</v>
      </c>
      <c r="C25" s="71" t="n">
        <f aca="false">'01 Scoring Model'!$B$11</f>
        <v>0.15</v>
      </c>
      <c r="D25" s="72" t="n">
        <f aca="false">IF(B25="","",B25*C25)</f>
        <v>0.45</v>
      </c>
      <c r="E25" s="18" t="s">
        <v>667</v>
      </c>
      <c r="F25" s="18" t="s">
        <v>494</v>
      </c>
      <c r="G25" s="18" t="s">
        <v>668</v>
      </c>
    </row>
    <row r="26" customFormat="false" ht="57.75" hidden="false" customHeight="true" outlineLevel="0" collapsed="false">
      <c r="A26" s="7" t="s">
        <v>180</v>
      </c>
      <c r="B26" s="67" t="n">
        <v>4</v>
      </c>
      <c r="C26" s="68" t="n">
        <f aca="false">'01 Scoring Model'!$B$12</f>
        <v>0.1</v>
      </c>
      <c r="D26" s="69" t="n">
        <f aca="false">IF(B26="","",B26*C26)</f>
        <v>0.4</v>
      </c>
      <c r="E26" s="7" t="s">
        <v>669</v>
      </c>
      <c r="F26" s="7" t="s">
        <v>494</v>
      </c>
      <c r="G26" s="7" t="s">
        <v>670</v>
      </c>
    </row>
    <row r="27" customFormat="false" ht="15" hidden="false" customHeight="true" outlineLevel="0" collapsed="false">
      <c r="A27" s="40" t="s">
        <v>498</v>
      </c>
      <c r="B27" s="42"/>
      <c r="C27" s="42"/>
      <c r="D27" s="73" t="n">
        <f aca="false">IF(COUNT(B20:B26)=0,"",ROUND(SUM(D20:D26),2))</f>
        <v>3.25</v>
      </c>
      <c r="E27" s="40" t="s">
        <v>499</v>
      </c>
      <c r="F27" s="40"/>
      <c r="G27" s="40"/>
    </row>
    <row r="29" customFormat="false" ht="18" hidden="false" customHeight="true" outlineLevel="0" collapsed="false">
      <c r="A29" s="3" t="s">
        <v>500</v>
      </c>
      <c r="B29" s="4"/>
      <c r="C29" s="4"/>
      <c r="D29" s="4"/>
      <c r="E29" s="4"/>
      <c r="F29" s="4"/>
      <c r="G29" s="4"/>
    </row>
    <row r="30" customFormat="false" ht="30" hidden="false" customHeight="true" outlineLevel="0" collapsed="false">
      <c r="A30" s="6" t="s">
        <v>501</v>
      </c>
      <c r="B30" s="6"/>
      <c r="C30" s="6"/>
      <c r="D30" s="6"/>
      <c r="E30" s="6" t="s">
        <v>502</v>
      </c>
      <c r="F30" s="6"/>
      <c r="G30" s="6"/>
    </row>
    <row r="31" customFormat="false" ht="15" hidden="false" customHeight="true" outlineLevel="0" collapsed="false">
      <c r="A31" s="7" t="s">
        <v>671</v>
      </c>
      <c r="B31" s="7"/>
      <c r="C31" s="7"/>
      <c r="D31" s="7"/>
      <c r="E31" s="7" t="s">
        <v>672</v>
      </c>
      <c r="F31" s="7"/>
      <c r="G31" s="7"/>
    </row>
    <row r="32" customFormat="false" ht="15" hidden="false" customHeight="true" outlineLevel="0" collapsed="false">
      <c r="A32" s="18" t="s">
        <v>673</v>
      </c>
      <c r="B32" s="18"/>
      <c r="C32" s="18"/>
      <c r="D32" s="18"/>
      <c r="E32" s="18" t="s">
        <v>674</v>
      </c>
      <c r="F32" s="18"/>
      <c r="G32" s="18"/>
    </row>
    <row r="33" customFormat="false" ht="15" hidden="false" customHeight="true" outlineLevel="0" collapsed="false">
      <c r="A33" s="7" t="s">
        <v>675</v>
      </c>
      <c r="B33" s="7"/>
      <c r="C33" s="7"/>
      <c r="D33" s="7"/>
      <c r="E33" s="7"/>
      <c r="F33" s="7"/>
      <c r="G33" s="7"/>
    </row>
    <row r="34" customFormat="false" ht="15" hidden="false" customHeight="true" outlineLevel="0" collapsed="false">
      <c r="A34" s="18" t="s">
        <v>676</v>
      </c>
      <c r="B34" s="18"/>
      <c r="C34" s="18"/>
      <c r="D34" s="18"/>
      <c r="E34" s="18"/>
      <c r="F34" s="18"/>
      <c r="G34" s="18"/>
    </row>
    <row r="36" customFormat="false" ht="18" hidden="false" customHeight="true" outlineLevel="0" collapsed="false">
      <c r="A36" s="3" t="s">
        <v>509</v>
      </c>
      <c r="B36" s="4"/>
      <c r="C36" s="4"/>
      <c r="D36" s="4"/>
      <c r="E36" s="4"/>
      <c r="F36" s="4"/>
      <c r="G36" s="4"/>
    </row>
    <row r="37" customFormat="false" ht="30" hidden="false" customHeight="true" outlineLevel="0" collapsed="false">
      <c r="A37" s="6" t="s">
        <v>281</v>
      </c>
      <c r="B37" s="6" t="s">
        <v>510</v>
      </c>
      <c r="C37" s="6"/>
      <c r="D37" s="6"/>
      <c r="E37" s="6" t="s">
        <v>511</v>
      </c>
      <c r="F37" s="6" t="s">
        <v>284</v>
      </c>
      <c r="G37" s="6" t="s">
        <v>512</v>
      </c>
    </row>
    <row r="38" customFormat="false" ht="15" hidden="false" customHeight="true" outlineLevel="0" collapsed="false">
      <c r="A38" s="7" t="s">
        <v>513</v>
      </c>
      <c r="B38" s="7" t="s">
        <v>617</v>
      </c>
      <c r="C38" s="7"/>
      <c r="D38" s="7"/>
      <c r="E38" s="7" t="s">
        <v>677</v>
      </c>
      <c r="F38" s="7" t="s">
        <v>288</v>
      </c>
      <c r="G38" s="7" t="s">
        <v>320</v>
      </c>
    </row>
    <row r="39" customFormat="false" ht="15" hidden="false" customHeight="true" outlineLevel="0" collapsed="false">
      <c r="A39" s="18" t="s">
        <v>290</v>
      </c>
      <c r="B39" s="18" t="s">
        <v>678</v>
      </c>
      <c r="C39" s="18"/>
      <c r="D39" s="18"/>
      <c r="E39" s="18" t="s">
        <v>679</v>
      </c>
      <c r="F39" s="18" t="s">
        <v>288</v>
      </c>
      <c r="G39" s="18" t="s">
        <v>320</v>
      </c>
    </row>
    <row r="40" customFormat="false" ht="15" hidden="false" customHeight="true" outlineLevel="0" collapsed="false">
      <c r="A40" s="7" t="s">
        <v>516</v>
      </c>
      <c r="B40" s="7" t="s">
        <v>517</v>
      </c>
      <c r="C40" s="7"/>
      <c r="D40" s="7"/>
      <c r="E40" s="7" t="s">
        <v>680</v>
      </c>
      <c r="F40" s="7" t="s">
        <v>295</v>
      </c>
      <c r="G40" s="7" t="s">
        <v>291</v>
      </c>
    </row>
    <row r="42" customFormat="false" ht="18" hidden="false" customHeight="true" outlineLevel="0" collapsed="false">
      <c r="A42" s="3" t="s">
        <v>519</v>
      </c>
      <c r="B42" s="4"/>
      <c r="C42" s="4"/>
      <c r="D42" s="4"/>
      <c r="E42" s="4"/>
      <c r="F42" s="4"/>
      <c r="G42" s="4"/>
    </row>
    <row r="43" customFormat="false" ht="30" hidden="false" customHeight="true" outlineLevel="0" collapsed="false">
      <c r="A43" s="6" t="s">
        <v>311</v>
      </c>
      <c r="B43" s="6" t="s">
        <v>312</v>
      </c>
      <c r="C43" s="6" t="s">
        <v>313</v>
      </c>
      <c r="D43" s="6" t="s">
        <v>314</v>
      </c>
      <c r="E43" s="6" t="s">
        <v>315</v>
      </c>
      <c r="F43" s="6" t="s">
        <v>284</v>
      </c>
      <c r="G43" s="6" t="s">
        <v>520</v>
      </c>
    </row>
    <row r="44" customFormat="false" ht="23.85" hidden="false" customHeight="false" outlineLevel="0" collapsed="false">
      <c r="A44" s="7" t="s">
        <v>319</v>
      </c>
      <c r="B44" s="47" t="s">
        <v>320</v>
      </c>
      <c r="C44" s="47" t="s">
        <v>320</v>
      </c>
      <c r="D44" s="51" t="n">
        <v>9</v>
      </c>
      <c r="E44" s="7" t="s">
        <v>321</v>
      </c>
      <c r="F44" s="7" t="s">
        <v>288</v>
      </c>
      <c r="G44" s="7" t="s">
        <v>623</v>
      </c>
    </row>
    <row r="45" customFormat="false" ht="15" hidden="false" customHeight="false" outlineLevel="0" collapsed="false">
      <c r="A45" s="18" t="s">
        <v>345</v>
      </c>
      <c r="B45" s="50" t="s">
        <v>291</v>
      </c>
      <c r="C45" s="50" t="s">
        <v>320</v>
      </c>
      <c r="D45" s="74" t="n">
        <v>6</v>
      </c>
      <c r="E45" s="18" t="s">
        <v>346</v>
      </c>
      <c r="F45" s="18" t="s">
        <v>340</v>
      </c>
      <c r="G45" s="18" t="s">
        <v>681</v>
      </c>
    </row>
    <row r="46" customFormat="false" ht="15" hidden="false" customHeight="false" outlineLevel="0" collapsed="false">
      <c r="A46" s="2" t="s">
        <v>522</v>
      </c>
      <c r="B46" s="2"/>
      <c r="C46" s="2"/>
      <c r="D46" s="2"/>
      <c r="E46" s="2"/>
      <c r="F46" s="2"/>
      <c r="G46" s="2"/>
    </row>
    <row r="48" customFormat="false" ht="18" hidden="false" customHeight="true" outlineLevel="0" collapsed="false">
      <c r="A48" s="3" t="s">
        <v>523</v>
      </c>
      <c r="B48" s="4"/>
      <c r="C48" s="4"/>
      <c r="D48" s="4"/>
      <c r="E48" s="4"/>
      <c r="F48" s="4"/>
      <c r="G48" s="4"/>
    </row>
    <row r="49" customFormat="false" ht="30" hidden="false" customHeight="true" outlineLevel="0" collapsed="false">
      <c r="A49" s="6" t="s">
        <v>524</v>
      </c>
      <c r="B49" s="6" t="s">
        <v>525</v>
      </c>
      <c r="C49" s="6"/>
      <c r="D49" s="6" t="s">
        <v>526</v>
      </c>
      <c r="E49" s="6" t="s">
        <v>527</v>
      </c>
      <c r="F49" s="6" t="s">
        <v>528</v>
      </c>
      <c r="G49" s="6"/>
    </row>
    <row r="50" customFormat="false" ht="15" hidden="false" customHeight="true" outlineLevel="0" collapsed="false">
      <c r="A50" s="7" t="s">
        <v>682</v>
      </c>
      <c r="B50" s="7" t="s">
        <v>683</v>
      </c>
      <c r="C50" s="7"/>
      <c r="D50" s="7" t="s">
        <v>626</v>
      </c>
      <c r="E50" s="7" t="s">
        <v>627</v>
      </c>
      <c r="F50" s="7" t="s">
        <v>628</v>
      </c>
      <c r="G50" s="7"/>
    </row>
    <row r="51" customFormat="false" ht="15" hidden="false" customHeight="true" outlineLevel="0" collapsed="false">
      <c r="A51" s="18" t="s">
        <v>684</v>
      </c>
      <c r="B51" s="18" t="s">
        <v>685</v>
      </c>
      <c r="C51" s="18"/>
      <c r="D51" s="18" t="s">
        <v>686</v>
      </c>
      <c r="E51" s="18" t="s">
        <v>632</v>
      </c>
      <c r="F51" s="18" t="s">
        <v>687</v>
      </c>
      <c r="G51" s="18"/>
    </row>
    <row r="52" customFormat="false" ht="15" hidden="false" customHeight="true" outlineLevel="0" collapsed="false">
      <c r="A52" s="7" t="s">
        <v>688</v>
      </c>
      <c r="B52" s="19" t="s">
        <v>689</v>
      </c>
      <c r="C52" s="19"/>
      <c r="D52" s="7" t="s">
        <v>690</v>
      </c>
      <c r="E52" s="7" t="s">
        <v>691</v>
      </c>
      <c r="F52" s="7" t="s">
        <v>692</v>
      </c>
      <c r="G52" s="7"/>
    </row>
    <row r="54" customFormat="false" ht="18" hidden="false" customHeight="true" outlineLevel="0" collapsed="false">
      <c r="A54" s="3" t="s">
        <v>537</v>
      </c>
      <c r="B54" s="4"/>
      <c r="C54" s="4"/>
      <c r="D54" s="4"/>
      <c r="E54" s="4"/>
      <c r="F54" s="4"/>
      <c r="G54" s="4"/>
    </row>
    <row r="55" customFormat="false" ht="30" hidden="false" customHeight="true" outlineLevel="0" collapsed="false">
      <c r="A55" s="6" t="s">
        <v>538</v>
      </c>
      <c r="B55" s="6" t="s">
        <v>115</v>
      </c>
      <c r="C55" s="6"/>
      <c r="D55" s="6"/>
      <c r="E55" s="6" t="s">
        <v>539</v>
      </c>
      <c r="F55" s="6" t="s">
        <v>540</v>
      </c>
      <c r="G55" s="6" t="s">
        <v>541</v>
      </c>
    </row>
    <row r="56" customFormat="false" ht="15" hidden="false" customHeight="false" outlineLevel="0" collapsed="false">
      <c r="A56" s="7" t="s">
        <v>542</v>
      </c>
      <c r="B56" s="49" t="s">
        <v>543</v>
      </c>
      <c r="C56" s="49"/>
      <c r="D56" s="49"/>
      <c r="E56" s="7" t="s">
        <v>693</v>
      </c>
      <c r="F56" s="7" t="s">
        <v>494</v>
      </c>
      <c r="G56" s="7"/>
    </row>
    <row r="57" customFormat="false" ht="15" hidden="false" customHeight="false" outlineLevel="0" collapsed="false">
      <c r="A57" s="18" t="s">
        <v>545</v>
      </c>
      <c r="B57" s="49" t="s">
        <v>543</v>
      </c>
      <c r="C57" s="49"/>
      <c r="D57" s="49"/>
      <c r="E57" s="18" t="s">
        <v>694</v>
      </c>
      <c r="F57" s="18" t="s">
        <v>494</v>
      </c>
      <c r="G57" s="18"/>
    </row>
    <row r="58" customFormat="false" ht="15" hidden="false" customHeight="false" outlineLevel="0" collapsed="false">
      <c r="A58" s="7" t="s">
        <v>547</v>
      </c>
      <c r="B58" s="75" t="s">
        <v>548</v>
      </c>
      <c r="C58" s="75"/>
      <c r="D58" s="75"/>
      <c r="E58" s="7" t="s">
        <v>695</v>
      </c>
      <c r="F58" s="7" t="s">
        <v>326</v>
      </c>
      <c r="G58" s="7"/>
    </row>
    <row r="59" customFormat="false" ht="23.85" hidden="false" customHeight="false" outlineLevel="0" collapsed="false">
      <c r="A59" s="18" t="s">
        <v>550</v>
      </c>
      <c r="B59" s="52" t="s">
        <v>551</v>
      </c>
      <c r="C59" s="52"/>
      <c r="D59" s="52"/>
      <c r="E59" s="18" t="s">
        <v>696</v>
      </c>
      <c r="F59" s="18" t="s">
        <v>288</v>
      </c>
      <c r="G59" s="18"/>
    </row>
    <row r="60" customFormat="false" ht="23.85" hidden="false" customHeight="false" outlineLevel="0" collapsed="false">
      <c r="A60" s="7" t="s">
        <v>553</v>
      </c>
      <c r="B60" s="52" t="s">
        <v>551</v>
      </c>
      <c r="C60" s="52"/>
      <c r="D60" s="52"/>
      <c r="E60" s="7" t="s">
        <v>697</v>
      </c>
      <c r="F60" s="7" t="s">
        <v>485</v>
      </c>
      <c r="G60" s="7"/>
    </row>
    <row r="61" customFormat="false" ht="15" hidden="false" customHeight="false" outlineLevel="0" collapsed="false">
      <c r="A61" s="18" t="s">
        <v>555</v>
      </c>
      <c r="B61" s="52" t="s">
        <v>551</v>
      </c>
      <c r="C61" s="52"/>
      <c r="D61" s="52"/>
      <c r="E61" s="18" t="s">
        <v>698</v>
      </c>
      <c r="F61" s="18" t="s">
        <v>340</v>
      </c>
      <c r="G61" s="18"/>
    </row>
    <row r="62" customFormat="false" ht="15" hidden="false" customHeight="false" outlineLevel="0" collapsed="false">
      <c r="A62" s="7" t="s">
        <v>558</v>
      </c>
      <c r="B62" s="52" t="s">
        <v>551</v>
      </c>
      <c r="C62" s="52"/>
      <c r="D62" s="52"/>
      <c r="E62" s="7" t="s">
        <v>699</v>
      </c>
      <c r="F62" s="7" t="s">
        <v>485</v>
      </c>
      <c r="G62" s="7"/>
    </row>
    <row r="63" customFormat="false" ht="15" hidden="false" customHeight="false" outlineLevel="0" collapsed="false">
      <c r="A63" s="18" t="s">
        <v>560</v>
      </c>
      <c r="B63" s="75" t="s">
        <v>548</v>
      </c>
      <c r="C63" s="75"/>
      <c r="D63" s="75"/>
      <c r="E63" s="18" t="s">
        <v>700</v>
      </c>
      <c r="F63" s="18" t="s">
        <v>326</v>
      </c>
      <c r="G63" s="18"/>
    </row>
    <row r="64" customFormat="false" ht="15" hidden="false" customHeight="false" outlineLevel="0" collapsed="false">
      <c r="A64" s="7" t="s">
        <v>562</v>
      </c>
      <c r="B64" s="75" t="s">
        <v>548</v>
      </c>
      <c r="C64" s="75"/>
      <c r="D64" s="75"/>
      <c r="E64" s="7" t="s">
        <v>563</v>
      </c>
      <c r="F64" s="7" t="s">
        <v>564</v>
      </c>
      <c r="G64" s="7"/>
    </row>
    <row r="65" customFormat="false" ht="23.85" hidden="false" customHeight="false" outlineLevel="0" collapsed="false">
      <c r="A65" s="18" t="s">
        <v>565</v>
      </c>
      <c r="B65" s="75" t="s">
        <v>548</v>
      </c>
      <c r="C65" s="75"/>
      <c r="D65" s="75"/>
      <c r="E65" s="18" t="s">
        <v>566</v>
      </c>
      <c r="F65" s="18" t="s">
        <v>494</v>
      </c>
      <c r="G65" s="18"/>
    </row>
    <row r="66" customFormat="false" ht="15" hidden="false" customHeight="false" outlineLevel="0" collapsed="false">
      <c r="A66" s="2" t="s">
        <v>567</v>
      </c>
      <c r="B66" s="2"/>
      <c r="C66" s="2"/>
      <c r="D66" s="2"/>
      <c r="E66" s="2"/>
      <c r="F66" s="2"/>
      <c r="G66" s="2"/>
    </row>
    <row r="68" customFormat="false" ht="18" hidden="false" customHeight="true" outlineLevel="0" collapsed="false">
      <c r="A68" s="3" t="s">
        <v>568</v>
      </c>
      <c r="B68" s="4"/>
      <c r="C68" s="4"/>
      <c r="D68" s="4"/>
      <c r="E68" s="4"/>
      <c r="F68" s="4"/>
      <c r="G68" s="4"/>
    </row>
    <row r="69" customFormat="false" ht="15" hidden="false" customHeight="true" outlineLevel="0" collapsed="false">
      <c r="A69" s="7" t="s">
        <v>569</v>
      </c>
      <c r="B69" s="7" t="s">
        <v>384</v>
      </c>
      <c r="C69" s="7"/>
      <c r="D69" s="7"/>
      <c r="E69" s="7"/>
      <c r="F69" s="7"/>
      <c r="G69" s="7"/>
    </row>
    <row r="70" customFormat="false" ht="15" hidden="false" customHeight="true" outlineLevel="0" collapsed="false">
      <c r="A70" s="18" t="s">
        <v>570</v>
      </c>
      <c r="B70" s="18" t="s">
        <v>387</v>
      </c>
      <c r="C70" s="18"/>
      <c r="D70" s="18"/>
      <c r="E70" s="18"/>
      <c r="F70" s="18"/>
      <c r="G70" s="18"/>
    </row>
    <row r="72" customFormat="false" ht="18" hidden="false" customHeight="true" outlineLevel="0" collapsed="false">
      <c r="A72" s="3" t="s">
        <v>572</v>
      </c>
      <c r="B72" s="4"/>
      <c r="C72" s="4"/>
      <c r="D72" s="4"/>
      <c r="E72" s="4"/>
      <c r="F72" s="4"/>
      <c r="G72" s="4"/>
    </row>
    <row r="73" customFormat="false" ht="15" hidden="false" customHeight="true" outlineLevel="0" collapsed="false">
      <c r="A73" s="22" t="s">
        <v>573</v>
      </c>
      <c r="B73" s="63" t="s">
        <v>693</v>
      </c>
      <c r="C73" s="63"/>
      <c r="D73" s="63"/>
      <c r="E73" s="7" t="s">
        <v>575</v>
      </c>
      <c r="F73" s="7"/>
      <c r="G73" s="7"/>
    </row>
    <row r="74" customFormat="false" ht="15" hidden="false" customHeight="true" outlineLevel="0" collapsed="false">
      <c r="A74" s="64" t="s">
        <v>576</v>
      </c>
      <c r="B74" s="65" t="s">
        <v>701</v>
      </c>
      <c r="C74" s="65"/>
      <c r="D74" s="65"/>
      <c r="E74" s="18" t="s">
        <v>578</v>
      </c>
      <c r="F74" s="18"/>
      <c r="G74" s="18"/>
    </row>
    <row r="75" customFormat="false" ht="35.05" hidden="false" customHeight="true" outlineLevel="0" collapsed="false">
      <c r="A75" s="22" t="s">
        <v>579</v>
      </c>
      <c r="B75" s="63" t="s">
        <v>702</v>
      </c>
      <c r="C75" s="63"/>
      <c r="D75" s="63"/>
      <c r="E75" s="7" t="s">
        <v>581</v>
      </c>
      <c r="F75" s="7"/>
      <c r="G75" s="7"/>
    </row>
    <row r="76" customFormat="false" ht="15" hidden="false" customHeight="true" outlineLevel="0" collapsed="false">
      <c r="A76" s="64" t="s">
        <v>582</v>
      </c>
      <c r="B76" s="65" t="s">
        <v>459</v>
      </c>
      <c r="C76" s="65"/>
      <c r="D76" s="65"/>
      <c r="E76" s="18" t="s">
        <v>583</v>
      </c>
      <c r="F76" s="18"/>
      <c r="G76" s="18"/>
    </row>
    <row r="77" customFormat="false" ht="15" hidden="false" customHeight="true" outlineLevel="0" collapsed="false">
      <c r="A77" s="22" t="s">
        <v>584</v>
      </c>
      <c r="B77" s="63" t="s">
        <v>628</v>
      </c>
      <c r="C77" s="63"/>
      <c r="D77" s="63"/>
      <c r="E77" s="7" t="s">
        <v>586</v>
      </c>
      <c r="F77" s="7"/>
      <c r="G77" s="7"/>
    </row>
    <row r="78" customFormat="false" ht="23.85" hidden="false" customHeight="true" outlineLevel="0" collapsed="false">
      <c r="A78" s="64" t="s">
        <v>587</v>
      </c>
      <c r="B78" s="65" t="s">
        <v>703</v>
      </c>
      <c r="C78" s="65"/>
      <c r="D78" s="65"/>
      <c r="E78" s="18" t="s">
        <v>589</v>
      </c>
      <c r="F78" s="18"/>
      <c r="G78" s="18"/>
    </row>
  </sheetData>
  <mergeCells count="68">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A46:G46"/>
    <mergeCell ref="B50:C50"/>
    <mergeCell ref="B51:C51"/>
    <mergeCell ref="B52:C52"/>
    <mergeCell ref="B56:D56"/>
    <mergeCell ref="B57:D57"/>
    <mergeCell ref="B58:D58"/>
    <mergeCell ref="B59:D59"/>
    <mergeCell ref="B60:D60"/>
    <mergeCell ref="B61:D61"/>
    <mergeCell ref="B62:D62"/>
    <mergeCell ref="B63:D63"/>
    <mergeCell ref="B64:D64"/>
    <mergeCell ref="B65:D65"/>
    <mergeCell ref="A66:G66"/>
    <mergeCell ref="B69:G69"/>
    <mergeCell ref="B70:G70"/>
    <mergeCell ref="B73:D73"/>
    <mergeCell ref="E73:G73"/>
    <mergeCell ref="B74:D74"/>
    <mergeCell ref="E74:G74"/>
    <mergeCell ref="B75:D75"/>
    <mergeCell ref="E75:G75"/>
    <mergeCell ref="B76:D76"/>
    <mergeCell ref="E76:G76"/>
    <mergeCell ref="B77:D77"/>
    <mergeCell ref="E77:G77"/>
    <mergeCell ref="B78:D78"/>
    <mergeCell ref="E78:G78"/>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56:B65" type="list">
      <formula1>"Met,Partial,Not started,Not met,Not applicable"</formula1>
      <formula2>0</formula2>
    </dataValidation>
    <dataValidation allowBlank="true" error="Pick a value from the list." errorStyle="stop" operator="between" showDropDown="false" showErrorMessage="false" showInputMessage="false" sqref="B44:C45"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704</v>
      </c>
      <c r="B1" s="1"/>
      <c r="C1" s="1"/>
      <c r="D1" s="1"/>
      <c r="E1" s="1"/>
      <c r="F1" s="1"/>
      <c r="G1" s="1"/>
    </row>
    <row r="2" customFormat="false" ht="15" hidden="false" customHeight="false" outlineLevel="0" collapsed="false">
      <c r="A2" s="2" t="s">
        <v>452</v>
      </c>
      <c r="B2" s="2"/>
      <c r="C2" s="2"/>
      <c r="D2" s="2"/>
      <c r="E2" s="2"/>
      <c r="F2" s="2"/>
      <c r="G2" s="2"/>
    </row>
    <row r="4" customFormat="false" ht="18" hidden="false" customHeight="true" outlineLevel="0" collapsed="false">
      <c r="A4" s="3" t="s">
        <v>453</v>
      </c>
      <c r="B4" s="4"/>
      <c r="C4" s="4"/>
      <c r="D4" s="4"/>
      <c r="E4" s="4"/>
      <c r="F4" s="4"/>
      <c r="G4" s="4"/>
    </row>
    <row r="5" customFormat="false" ht="15" hidden="false" customHeight="true" outlineLevel="0" collapsed="false">
      <c r="A5" s="22" t="s">
        <v>454</v>
      </c>
      <c r="B5" s="63" t="s">
        <v>247</v>
      </c>
      <c r="C5" s="63"/>
      <c r="D5" s="63"/>
      <c r="E5" s="7"/>
      <c r="F5" s="7"/>
      <c r="G5" s="7"/>
    </row>
    <row r="6" customFormat="false" ht="23.85" hidden="false" customHeight="true" outlineLevel="0" collapsed="false">
      <c r="A6" s="64" t="s">
        <v>455</v>
      </c>
      <c r="B6" s="65" t="s">
        <v>705</v>
      </c>
      <c r="C6" s="65"/>
      <c r="D6" s="65"/>
      <c r="E6" s="18" t="s">
        <v>457</v>
      </c>
      <c r="F6" s="18"/>
      <c r="G6" s="18"/>
    </row>
    <row r="7" customFormat="false" ht="15" hidden="false" customHeight="true" outlineLevel="0" collapsed="false">
      <c r="A7" s="22" t="s">
        <v>458</v>
      </c>
      <c r="B7" s="63" t="s">
        <v>706</v>
      </c>
      <c r="C7" s="63"/>
      <c r="D7" s="63"/>
      <c r="E7" s="7" t="s">
        <v>460</v>
      </c>
      <c r="F7" s="7"/>
      <c r="G7" s="7"/>
    </row>
    <row r="8" customFormat="false" ht="15" hidden="false" customHeight="true" outlineLevel="0" collapsed="false">
      <c r="A8" s="64" t="s">
        <v>461</v>
      </c>
      <c r="B8" s="65" t="s">
        <v>462</v>
      </c>
      <c r="C8" s="65"/>
      <c r="D8" s="65"/>
      <c r="E8" s="18" t="s">
        <v>460</v>
      </c>
      <c r="F8" s="18"/>
      <c r="G8" s="18"/>
    </row>
    <row r="9" customFormat="false" ht="15" hidden="false" customHeight="true" outlineLevel="0" collapsed="false">
      <c r="A9" s="22" t="s">
        <v>463</v>
      </c>
      <c r="B9" s="63" t="s">
        <v>707</v>
      </c>
      <c r="C9" s="63"/>
      <c r="D9" s="63"/>
      <c r="E9" s="7" t="s">
        <v>460</v>
      </c>
      <c r="F9" s="7"/>
      <c r="G9" s="7"/>
    </row>
    <row r="10" customFormat="false" ht="15" hidden="false" customHeight="true" outlineLevel="0" collapsed="false">
      <c r="A10" s="64" t="s">
        <v>237</v>
      </c>
      <c r="B10" s="66" t="n">
        <v>220000</v>
      </c>
      <c r="C10" s="66"/>
      <c r="D10" s="66"/>
      <c r="E10" s="18" t="s">
        <v>708</v>
      </c>
      <c r="F10" s="18"/>
      <c r="G10" s="18"/>
    </row>
    <row r="11" customFormat="false" ht="15" hidden="false" customHeight="true" outlineLevel="0" collapsed="false">
      <c r="A11" s="22" t="s">
        <v>466</v>
      </c>
      <c r="B11" s="63" t="n">
        <v>5</v>
      </c>
      <c r="C11" s="63"/>
      <c r="D11" s="63"/>
      <c r="E11" s="7" t="s">
        <v>709</v>
      </c>
      <c r="F11" s="7"/>
      <c r="G11" s="7"/>
    </row>
    <row r="12" customFormat="false" ht="15" hidden="false" customHeight="true" outlineLevel="0" collapsed="false">
      <c r="A12" s="64" t="s">
        <v>468</v>
      </c>
      <c r="B12" s="65" t="s">
        <v>710</v>
      </c>
      <c r="C12" s="65"/>
      <c r="D12" s="65"/>
      <c r="E12" s="18"/>
      <c r="F12" s="18"/>
      <c r="G12" s="18"/>
    </row>
    <row r="13" customFormat="false" ht="23.85" hidden="false" customHeight="true" outlineLevel="0" collapsed="false">
      <c r="A13" s="22" t="s">
        <v>470</v>
      </c>
      <c r="B13" s="63" t="s">
        <v>711</v>
      </c>
      <c r="C13" s="63"/>
      <c r="D13" s="63"/>
      <c r="E13" s="7"/>
      <c r="F13" s="7"/>
      <c r="G13" s="7"/>
    </row>
    <row r="14" customFormat="false" ht="15" hidden="false" customHeight="true" outlineLevel="0" collapsed="false">
      <c r="A14" s="64" t="s">
        <v>243</v>
      </c>
      <c r="B14" s="65" t="s">
        <v>273</v>
      </c>
      <c r="C14" s="65"/>
      <c r="D14" s="65"/>
      <c r="E14" s="18" t="s">
        <v>472</v>
      </c>
      <c r="F14" s="18"/>
      <c r="G14" s="18"/>
    </row>
    <row r="15" customFormat="false" ht="35.05" hidden="false" customHeight="true" outlineLevel="0" collapsed="false">
      <c r="A15" s="22" t="s">
        <v>473</v>
      </c>
      <c r="B15" s="63" t="s">
        <v>712</v>
      </c>
      <c r="C15" s="63"/>
      <c r="D15" s="63"/>
      <c r="E15" s="7" t="s">
        <v>475</v>
      </c>
      <c r="F15" s="7"/>
      <c r="G15" s="7"/>
    </row>
    <row r="17" customFormat="false" ht="18" hidden="false" customHeight="true" outlineLevel="0" collapsed="false">
      <c r="A17" s="3" t="s">
        <v>476</v>
      </c>
      <c r="B17" s="4"/>
      <c r="C17" s="4"/>
      <c r="D17" s="4"/>
      <c r="E17" s="4"/>
      <c r="F17" s="4"/>
      <c r="G17" s="4"/>
    </row>
    <row r="18" customFormat="false" ht="15" hidden="false" customHeight="false" outlineLevel="0" collapsed="false">
      <c r="A18" s="2" t="s">
        <v>477</v>
      </c>
      <c r="B18" s="2"/>
      <c r="C18" s="2"/>
      <c r="D18" s="2"/>
      <c r="E18" s="2"/>
      <c r="F18" s="2"/>
      <c r="G18" s="2"/>
    </row>
    <row r="19" customFormat="false" ht="30" hidden="false" customHeight="true" outlineLevel="0" collapsed="false">
      <c r="A19" s="6" t="s">
        <v>165</v>
      </c>
      <c r="B19" s="6" t="s">
        <v>478</v>
      </c>
      <c r="C19" s="6" t="s">
        <v>166</v>
      </c>
      <c r="D19" s="6" t="s">
        <v>479</v>
      </c>
      <c r="E19" s="6" t="s">
        <v>480</v>
      </c>
      <c r="F19" s="6" t="s">
        <v>284</v>
      </c>
      <c r="G19" s="6" t="s">
        <v>481</v>
      </c>
    </row>
    <row r="20" customFormat="false" ht="57.75" hidden="false" customHeight="true" outlineLevel="0" collapsed="false">
      <c r="A20" s="7" t="s">
        <v>168</v>
      </c>
      <c r="B20" s="67" t="n">
        <v>3</v>
      </c>
      <c r="C20" s="68" t="n">
        <f aca="false">'01 Scoring Model'!$B$6</f>
        <v>0.1</v>
      </c>
      <c r="D20" s="69" t="n">
        <f aca="false">IF(B20="","",B20*C20)</f>
        <v>0.3</v>
      </c>
      <c r="E20" s="7" t="s">
        <v>713</v>
      </c>
      <c r="F20" s="7" t="s">
        <v>331</v>
      </c>
      <c r="G20" s="7" t="s">
        <v>714</v>
      </c>
    </row>
    <row r="21" customFormat="false" ht="57.75" hidden="false" customHeight="true" outlineLevel="0" collapsed="false">
      <c r="A21" s="18" t="s">
        <v>170</v>
      </c>
      <c r="B21" s="70" t="n">
        <v>2</v>
      </c>
      <c r="C21" s="71" t="n">
        <f aca="false">'01 Scoring Model'!$B$7</f>
        <v>0.35</v>
      </c>
      <c r="D21" s="72" t="n">
        <f aca="false">IF(B21="","",B21*C21)</f>
        <v>0.7</v>
      </c>
      <c r="E21" s="18" t="s">
        <v>715</v>
      </c>
      <c r="F21" s="18" t="s">
        <v>485</v>
      </c>
      <c r="G21" s="18" t="s">
        <v>716</v>
      </c>
    </row>
    <row r="22" customFormat="false" ht="57.75" hidden="false" customHeight="true" outlineLevel="0" collapsed="false">
      <c r="A22" s="7" t="s">
        <v>172</v>
      </c>
      <c r="B22" s="67" t="n">
        <v>2</v>
      </c>
      <c r="C22" s="68" t="n">
        <f aca="false">'01 Scoring Model'!$B$8</f>
        <v>0.15</v>
      </c>
      <c r="D22" s="69" t="n">
        <f aca="false">IF(B22="","",B22*C22)</f>
        <v>0.3</v>
      </c>
      <c r="E22" s="7" t="s">
        <v>717</v>
      </c>
      <c r="F22" s="7" t="s">
        <v>331</v>
      </c>
      <c r="G22" s="7" t="s">
        <v>718</v>
      </c>
    </row>
    <row r="23" customFormat="false" ht="57.75" hidden="false" customHeight="true" outlineLevel="0" collapsed="false">
      <c r="A23" s="18" t="s">
        <v>174</v>
      </c>
      <c r="B23" s="70" t="n">
        <v>2</v>
      </c>
      <c r="C23" s="71" t="n">
        <f aca="false">'01 Scoring Model'!$B$9</f>
        <v>0.1</v>
      </c>
      <c r="D23" s="72" t="n">
        <f aca="false">IF(B23="","",B23*C23)</f>
        <v>0.2</v>
      </c>
      <c r="E23" s="18" t="s">
        <v>719</v>
      </c>
      <c r="F23" s="18" t="s">
        <v>494</v>
      </c>
      <c r="G23" s="18" t="s">
        <v>720</v>
      </c>
    </row>
    <row r="24" customFormat="false" ht="57.75" hidden="false" customHeight="true" outlineLevel="0" collapsed="false">
      <c r="A24" s="7" t="s">
        <v>176</v>
      </c>
      <c r="B24" s="67" t="n">
        <v>1</v>
      </c>
      <c r="C24" s="68" t="n">
        <f aca="false">'01 Scoring Model'!$B$10</f>
        <v>0.05</v>
      </c>
      <c r="D24" s="69" t="n">
        <f aca="false">IF(B24="","",B24*C24)</f>
        <v>0.05</v>
      </c>
      <c r="E24" s="7" t="s">
        <v>721</v>
      </c>
      <c r="F24" s="7" t="s">
        <v>326</v>
      </c>
      <c r="G24" s="7" t="s">
        <v>722</v>
      </c>
    </row>
    <row r="25" customFormat="false" ht="57.75" hidden="false" customHeight="true" outlineLevel="0" collapsed="false">
      <c r="A25" s="18" t="s">
        <v>178</v>
      </c>
      <c r="B25" s="70" t="n">
        <v>2</v>
      </c>
      <c r="C25" s="71" t="n">
        <f aca="false">'01 Scoring Model'!$B$11</f>
        <v>0.15</v>
      </c>
      <c r="D25" s="72" t="n">
        <f aca="false">IF(B25="","",B25*C25)</f>
        <v>0.3</v>
      </c>
      <c r="E25" s="18" t="s">
        <v>723</v>
      </c>
      <c r="F25" s="18" t="s">
        <v>494</v>
      </c>
      <c r="G25" s="18" t="s">
        <v>724</v>
      </c>
    </row>
    <row r="26" customFormat="false" ht="57.75" hidden="false" customHeight="true" outlineLevel="0" collapsed="false">
      <c r="A26" s="7" t="s">
        <v>180</v>
      </c>
      <c r="B26" s="67" t="n">
        <v>1</v>
      </c>
      <c r="C26" s="68" t="n">
        <f aca="false">'01 Scoring Model'!$B$12</f>
        <v>0.1</v>
      </c>
      <c r="D26" s="69" t="n">
        <f aca="false">IF(B26="","",B26*C26)</f>
        <v>0.1</v>
      </c>
      <c r="E26" s="7" t="s">
        <v>725</v>
      </c>
      <c r="F26" s="7" t="s">
        <v>494</v>
      </c>
      <c r="G26" s="7" t="s">
        <v>726</v>
      </c>
    </row>
    <row r="27" customFormat="false" ht="15" hidden="false" customHeight="true" outlineLevel="0" collapsed="false">
      <c r="A27" s="40" t="s">
        <v>498</v>
      </c>
      <c r="B27" s="42"/>
      <c r="C27" s="42"/>
      <c r="D27" s="73" t="n">
        <f aca="false">IF(COUNT(B20:B26)=0,"",ROUND(SUM(D20:D26),2))</f>
        <v>1.95</v>
      </c>
      <c r="E27" s="40" t="s">
        <v>499</v>
      </c>
      <c r="F27" s="40"/>
      <c r="G27" s="40"/>
    </row>
    <row r="29" customFormat="false" ht="18" hidden="false" customHeight="true" outlineLevel="0" collapsed="false">
      <c r="A29" s="3" t="s">
        <v>500</v>
      </c>
      <c r="B29" s="4"/>
      <c r="C29" s="4"/>
      <c r="D29" s="4"/>
      <c r="E29" s="4"/>
      <c r="F29" s="4"/>
      <c r="G29" s="4"/>
    </row>
    <row r="30" customFormat="false" ht="30" hidden="false" customHeight="true" outlineLevel="0" collapsed="false">
      <c r="A30" s="6" t="s">
        <v>501</v>
      </c>
      <c r="B30" s="6"/>
      <c r="C30" s="6"/>
      <c r="D30" s="6"/>
      <c r="E30" s="6" t="s">
        <v>502</v>
      </c>
      <c r="F30" s="6"/>
      <c r="G30" s="6"/>
    </row>
    <row r="31" customFormat="false" ht="15" hidden="false" customHeight="true" outlineLevel="0" collapsed="false">
      <c r="A31" s="7" t="s">
        <v>727</v>
      </c>
      <c r="B31" s="7"/>
      <c r="C31" s="7"/>
      <c r="D31" s="7"/>
      <c r="E31" s="7" t="s">
        <v>728</v>
      </c>
      <c r="F31" s="7"/>
      <c r="G31" s="7"/>
    </row>
    <row r="32" customFormat="false" ht="15" hidden="false" customHeight="true" outlineLevel="0" collapsed="false">
      <c r="A32" s="18" t="s">
        <v>729</v>
      </c>
      <c r="B32" s="18"/>
      <c r="C32" s="18"/>
      <c r="D32" s="18"/>
      <c r="E32" s="18" t="s">
        <v>730</v>
      </c>
      <c r="F32" s="18"/>
      <c r="G32" s="18"/>
    </row>
    <row r="33" customFormat="false" ht="15" hidden="false" customHeight="true" outlineLevel="0" collapsed="false">
      <c r="A33" s="7" t="s">
        <v>731</v>
      </c>
      <c r="B33" s="7"/>
      <c r="C33" s="7"/>
      <c r="D33" s="7"/>
      <c r="E33" s="7"/>
      <c r="F33" s="7"/>
      <c r="G33" s="7"/>
    </row>
    <row r="34" customFormat="false" ht="15" hidden="false" customHeight="true" outlineLevel="0" collapsed="false">
      <c r="A34" s="18" t="s">
        <v>732</v>
      </c>
      <c r="B34" s="18"/>
      <c r="C34" s="18"/>
      <c r="D34" s="18"/>
      <c r="E34" s="18"/>
      <c r="F34" s="18"/>
      <c r="G34" s="18"/>
    </row>
    <row r="36" customFormat="false" ht="18" hidden="false" customHeight="true" outlineLevel="0" collapsed="false">
      <c r="A36" s="3" t="s">
        <v>509</v>
      </c>
      <c r="B36" s="4"/>
      <c r="C36" s="4"/>
      <c r="D36" s="4"/>
      <c r="E36" s="4"/>
      <c r="F36" s="4"/>
      <c r="G36" s="4"/>
    </row>
    <row r="37" customFormat="false" ht="30" hidden="false" customHeight="true" outlineLevel="0" collapsed="false">
      <c r="A37" s="6" t="s">
        <v>281</v>
      </c>
      <c r="B37" s="6" t="s">
        <v>510</v>
      </c>
      <c r="C37" s="6"/>
      <c r="D37" s="6"/>
      <c r="E37" s="6" t="s">
        <v>511</v>
      </c>
      <c r="F37" s="6" t="s">
        <v>284</v>
      </c>
      <c r="G37" s="6" t="s">
        <v>512</v>
      </c>
    </row>
    <row r="38" customFormat="false" ht="15" hidden="false" customHeight="true" outlineLevel="0" collapsed="false">
      <c r="A38" s="7" t="s">
        <v>513</v>
      </c>
      <c r="B38" s="7" t="s">
        <v>617</v>
      </c>
      <c r="C38" s="7"/>
      <c r="D38" s="7"/>
      <c r="E38" s="7" t="s">
        <v>733</v>
      </c>
      <c r="F38" s="7" t="s">
        <v>288</v>
      </c>
      <c r="G38" s="7" t="s">
        <v>320</v>
      </c>
    </row>
    <row r="39" customFormat="false" ht="23.85" hidden="false" customHeight="true" outlineLevel="0" collapsed="false">
      <c r="A39" s="18" t="s">
        <v>290</v>
      </c>
      <c r="B39" s="18" t="s">
        <v>734</v>
      </c>
      <c r="C39" s="18"/>
      <c r="D39" s="18"/>
      <c r="E39" s="18" t="s">
        <v>735</v>
      </c>
      <c r="F39" s="18" t="s">
        <v>288</v>
      </c>
      <c r="G39" s="18" t="s">
        <v>291</v>
      </c>
    </row>
    <row r="40" customFormat="false" ht="15" hidden="false" customHeight="true" outlineLevel="0" collapsed="false">
      <c r="A40" s="7" t="s">
        <v>516</v>
      </c>
      <c r="B40" s="7" t="s">
        <v>517</v>
      </c>
      <c r="C40" s="7"/>
      <c r="D40" s="7"/>
      <c r="E40" s="7" t="s">
        <v>736</v>
      </c>
      <c r="F40" s="7" t="s">
        <v>295</v>
      </c>
      <c r="G40" s="7" t="s">
        <v>338</v>
      </c>
    </row>
    <row r="42" customFormat="false" ht="18" hidden="false" customHeight="true" outlineLevel="0" collapsed="false">
      <c r="A42" s="3" t="s">
        <v>519</v>
      </c>
      <c r="B42" s="4"/>
      <c r="C42" s="4"/>
      <c r="D42" s="4"/>
      <c r="E42" s="4"/>
      <c r="F42" s="4"/>
      <c r="G42" s="4"/>
    </row>
    <row r="43" customFormat="false" ht="30" hidden="false" customHeight="true" outlineLevel="0" collapsed="false">
      <c r="A43" s="6" t="s">
        <v>311</v>
      </c>
      <c r="B43" s="6" t="s">
        <v>312</v>
      </c>
      <c r="C43" s="6" t="s">
        <v>313</v>
      </c>
      <c r="D43" s="6" t="s">
        <v>314</v>
      </c>
      <c r="E43" s="6" t="s">
        <v>315</v>
      </c>
      <c r="F43" s="6" t="s">
        <v>284</v>
      </c>
      <c r="G43" s="6" t="s">
        <v>520</v>
      </c>
    </row>
    <row r="44" customFormat="false" ht="23.85" hidden="false" customHeight="false" outlineLevel="0" collapsed="false">
      <c r="A44" s="7" t="s">
        <v>324</v>
      </c>
      <c r="B44" s="47" t="s">
        <v>320</v>
      </c>
      <c r="C44" s="47" t="s">
        <v>320</v>
      </c>
      <c r="D44" s="51" t="n">
        <v>9</v>
      </c>
      <c r="E44" s="7" t="s">
        <v>325</v>
      </c>
      <c r="F44" s="7" t="s">
        <v>326</v>
      </c>
      <c r="G44" s="7" t="s">
        <v>327</v>
      </c>
    </row>
    <row r="45" customFormat="false" ht="23.85" hidden="false" customHeight="false" outlineLevel="0" collapsed="false">
      <c r="A45" s="18" t="s">
        <v>329</v>
      </c>
      <c r="B45" s="50" t="s">
        <v>320</v>
      </c>
      <c r="C45" s="50" t="s">
        <v>320</v>
      </c>
      <c r="D45" s="74" t="n">
        <v>9</v>
      </c>
      <c r="E45" s="18" t="s">
        <v>330</v>
      </c>
      <c r="F45" s="18" t="s">
        <v>331</v>
      </c>
      <c r="G45" s="18" t="s">
        <v>623</v>
      </c>
    </row>
    <row r="46" customFormat="false" ht="15" hidden="false" customHeight="false" outlineLevel="0" collapsed="false">
      <c r="A46" s="7" t="s">
        <v>348</v>
      </c>
      <c r="B46" s="47" t="s">
        <v>320</v>
      </c>
      <c r="C46" s="47" t="s">
        <v>291</v>
      </c>
      <c r="D46" s="51" t="n">
        <v>6</v>
      </c>
      <c r="E46" s="7" t="s">
        <v>349</v>
      </c>
      <c r="F46" s="7" t="s">
        <v>331</v>
      </c>
      <c r="G46" s="7" t="s">
        <v>623</v>
      </c>
    </row>
    <row r="47" customFormat="false" ht="15" hidden="false" customHeight="false" outlineLevel="0" collapsed="false">
      <c r="A47" s="18" t="s">
        <v>333</v>
      </c>
      <c r="B47" s="50" t="s">
        <v>320</v>
      </c>
      <c r="C47" s="50" t="s">
        <v>320</v>
      </c>
      <c r="D47" s="74" t="n">
        <v>9</v>
      </c>
      <c r="E47" s="18" t="s">
        <v>334</v>
      </c>
      <c r="F47" s="18" t="s">
        <v>335</v>
      </c>
      <c r="G47" s="18" t="s">
        <v>737</v>
      </c>
    </row>
    <row r="48" customFormat="false" ht="15" hidden="false" customHeight="false" outlineLevel="0" collapsed="false">
      <c r="A48" s="2" t="s">
        <v>522</v>
      </c>
      <c r="B48" s="2"/>
      <c r="C48" s="2"/>
      <c r="D48" s="2"/>
      <c r="E48" s="2"/>
      <c r="F48" s="2"/>
      <c r="G48" s="2"/>
    </row>
    <row r="50" customFormat="false" ht="18" hidden="false" customHeight="true" outlineLevel="0" collapsed="false">
      <c r="A50" s="3" t="s">
        <v>523</v>
      </c>
      <c r="B50" s="4"/>
      <c r="C50" s="4"/>
      <c r="D50" s="4"/>
      <c r="E50" s="4"/>
      <c r="F50" s="4"/>
      <c r="G50" s="4"/>
    </row>
    <row r="51" customFormat="false" ht="30" hidden="false" customHeight="true" outlineLevel="0" collapsed="false">
      <c r="A51" s="6" t="s">
        <v>524</v>
      </c>
      <c r="B51" s="6" t="s">
        <v>525</v>
      </c>
      <c r="C51" s="6"/>
      <c r="D51" s="6" t="s">
        <v>526</v>
      </c>
      <c r="E51" s="6" t="s">
        <v>527</v>
      </c>
      <c r="F51" s="6" t="s">
        <v>528</v>
      </c>
      <c r="G51" s="6"/>
    </row>
    <row r="52" customFormat="false" ht="23.85" hidden="false" customHeight="true" outlineLevel="0" collapsed="false">
      <c r="A52" s="7" t="s">
        <v>738</v>
      </c>
      <c r="B52" s="19" t="s">
        <v>739</v>
      </c>
      <c r="C52" s="19"/>
      <c r="D52" s="7" t="s">
        <v>740</v>
      </c>
      <c r="E52" s="7" t="s">
        <v>632</v>
      </c>
      <c r="F52" s="7" t="s">
        <v>687</v>
      </c>
      <c r="G52" s="7"/>
    </row>
    <row r="53" customFormat="false" ht="15" hidden="false" customHeight="true" outlineLevel="0" collapsed="false">
      <c r="A53" s="18" t="s">
        <v>741</v>
      </c>
      <c r="B53" s="18" t="s">
        <v>742</v>
      </c>
      <c r="C53" s="18"/>
      <c r="D53" s="18" t="s">
        <v>743</v>
      </c>
      <c r="E53" s="18" t="s">
        <v>744</v>
      </c>
      <c r="F53" s="18" t="s">
        <v>628</v>
      </c>
      <c r="G53" s="18"/>
    </row>
    <row r="55" customFormat="false" ht="18" hidden="false" customHeight="true" outlineLevel="0" collapsed="false">
      <c r="A55" s="3" t="s">
        <v>537</v>
      </c>
      <c r="B55" s="4"/>
      <c r="C55" s="4"/>
      <c r="D55" s="4"/>
      <c r="E55" s="4"/>
      <c r="F55" s="4"/>
      <c r="G55" s="4"/>
    </row>
    <row r="56" customFormat="false" ht="30" hidden="false" customHeight="true" outlineLevel="0" collapsed="false">
      <c r="A56" s="6" t="s">
        <v>538</v>
      </c>
      <c r="B56" s="6" t="s">
        <v>115</v>
      </c>
      <c r="C56" s="6"/>
      <c r="D56" s="6"/>
      <c r="E56" s="6" t="s">
        <v>539</v>
      </c>
      <c r="F56" s="6" t="s">
        <v>540</v>
      </c>
      <c r="G56" s="6" t="s">
        <v>541</v>
      </c>
    </row>
    <row r="57" customFormat="false" ht="15" hidden="false" customHeight="false" outlineLevel="0" collapsed="false">
      <c r="A57" s="7" t="s">
        <v>542</v>
      </c>
      <c r="B57" s="52" t="s">
        <v>551</v>
      </c>
      <c r="C57" s="52"/>
      <c r="D57" s="52"/>
      <c r="E57" s="7" t="s">
        <v>745</v>
      </c>
      <c r="F57" s="7" t="s">
        <v>494</v>
      </c>
      <c r="G57" s="7"/>
    </row>
    <row r="58" customFormat="false" ht="15" hidden="false" customHeight="false" outlineLevel="0" collapsed="false">
      <c r="A58" s="18" t="s">
        <v>545</v>
      </c>
      <c r="B58" s="48" t="s">
        <v>746</v>
      </c>
      <c r="C58" s="48"/>
      <c r="D58" s="48"/>
      <c r="E58" s="18" t="s">
        <v>747</v>
      </c>
      <c r="F58" s="18" t="s">
        <v>494</v>
      </c>
      <c r="G58" s="18"/>
    </row>
    <row r="59" customFormat="false" ht="15" hidden="false" customHeight="false" outlineLevel="0" collapsed="false">
      <c r="A59" s="7" t="s">
        <v>547</v>
      </c>
      <c r="B59" s="75" t="s">
        <v>548</v>
      </c>
      <c r="C59" s="75"/>
      <c r="D59" s="75"/>
      <c r="E59" s="7" t="s">
        <v>695</v>
      </c>
      <c r="F59" s="7" t="s">
        <v>326</v>
      </c>
      <c r="G59" s="7"/>
    </row>
    <row r="60" customFormat="false" ht="23.85" hidden="false" customHeight="false" outlineLevel="0" collapsed="false">
      <c r="A60" s="18" t="s">
        <v>550</v>
      </c>
      <c r="B60" s="75" t="s">
        <v>548</v>
      </c>
      <c r="C60" s="75"/>
      <c r="D60" s="75"/>
      <c r="E60" s="18" t="s">
        <v>748</v>
      </c>
      <c r="F60" s="18" t="s">
        <v>331</v>
      </c>
      <c r="G60" s="18"/>
    </row>
    <row r="61" customFormat="false" ht="23.85" hidden="false" customHeight="false" outlineLevel="0" collapsed="false">
      <c r="A61" s="7" t="s">
        <v>553</v>
      </c>
      <c r="B61" s="48" t="s">
        <v>746</v>
      </c>
      <c r="C61" s="48"/>
      <c r="D61" s="48"/>
      <c r="E61" s="7" t="s">
        <v>749</v>
      </c>
      <c r="F61" s="7" t="s">
        <v>485</v>
      </c>
      <c r="G61" s="7"/>
    </row>
    <row r="62" customFormat="false" ht="15" hidden="false" customHeight="false" outlineLevel="0" collapsed="false">
      <c r="A62" s="18" t="s">
        <v>555</v>
      </c>
      <c r="B62" s="75" t="s">
        <v>548</v>
      </c>
      <c r="C62" s="75"/>
      <c r="D62" s="75"/>
      <c r="E62" s="18" t="s">
        <v>750</v>
      </c>
      <c r="F62" s="18" t="s">
        <v>335</v>
      </c>
      <c r="G62" s="18"/>
    </row>
    <row r="63" customFormat="false" ht="15" hidden="false" customHeight="false" outlineLevel="0" collapsed="false">
      <c r="A63" s="7" t="s">
        <v>558</v>
      </c>
      <c r="B63" s="48" t="s">
        <v>746</v>
      </c>
      <c r="C63" s="48"/>
      <c r="D63" s="48"/>
      <c r="E63" s="7" t="s">
        <v>751</v>
      </c>
      <c r="F63" s="7" t="s">
        <v>485</v>
      </c>
      <c r="G63" s="7"/>
    </row>
    <row r="64" customFormat="false" ht="15" hidden="false" customHeight="false" outlineLevel="0" collapsed="false">
      <c r="A64" s="18" t="s">
        <v>560</v>
      </c>
      <c r="B64" s="75" t="s">
        <v>548</v>
      </c>
      <c r="C64" s="75"/>
      <c r="D64" s="75"/>
      <c r="E64" s="18" t="s">
        <v>752</v>
      </c>
      <c r="F64" s="18" t="s">
        <v>326</v>
      </c>
      <c r="G64" s="18"/>
    </row>
    <row r="65" customFormat="false" ht="15" hidden="false" customHeight="false" outlineLevel="0" collapsed="false">
      <c r="A65" s="7" t="s">
        <v>562</v>
      </c>
      <c r="B65" s="75" t="s">
        <v>548</v>
      </c>
      <c r="C65" s="75"/>
      <c r="D65" s="75"/>
      <c r="E65" s="7" t="s">
        <v>563</v>
      </c>
      <c r="F65" s="7" t="s">
        <v>564</v>
      </c>
      <c r="G65" s="7"/>
    </row>
    <row r="66" customFormat="false" ht="23.85" hidden="false" customHeight="false" outlineLevel="0" collapsed="false">
      <c r="A66" s="18" t="s">
        <v>565</v>
      </c>
      <c r="B66" s="75" t="s">
        <v>548</v>
      </c>
      <c r="C66" s="75"/>
      <c r="D66" s="75"/>
      <c r="E66" s="18" t="s">
        <v>566</v>
      </c>
      <c r="F66" s="18" t="s">
        <v>494</v>
      </c>
      <c r="G66" s="18"/>
    </row>
    <row r="67" customFormat="false" ht="15" hidden="false" customHeight="false" outlineLevel="0" collapsed="false">
      <c r="A67" s="2" t="s">
        <v>567</v>
      </c>
      <c r="B67" s="2"/>
      <c r="C67" s="2"/>
      <c r="D67" s="2"/>
      <c r="E67" s="2"/>
      <c r="F67" s="2"/>
      <c r="G67" s="2"/>
    </row>
    <row r="69" customFormat="false" ht="18" hidden="false" customHeight="true" outlineLevel="0" collapsed="false">
      <c r="A69" s="3" t="s">
        <v>568</v>
      </c>
      <c r="B69" s="4"/>
      <c r="C69" s="4"/>
      <c r="D69" s="4"/>
      <c r="E69" s="4"/>
      <c r="F69" s="4"/>
      <c r="G69" s="4"/>
    </row>
    <row r="70" customFormat="false" ht="15" hidden="false" customHeight="true" outlineLevel="0" collapsed="false">
      <c r="A70" s="7" t="s">
        <v>569</v>
      </c>
      <c r="B70" s="7" t="s">
        <v>390</v>
      </c>
      <c r="C70" s="7"/>
      <c r="D70" s="7"/>
      <c r="E70" s="7"/>
      <c r="F70" s="7"/>
      <c r="G70" s="7"/>
    </row>
    <row r="71" customFormat="false" ht="15" hidden="false" customHeight="true" outlineLevel="0" collapsed="false">
      <c r="A71" s="18" t="s">
        <v>570</v>
      </c>
      <c r="B71" s="18" t="s">
        <v>753</v>
      </c>
      <c r="C71" s="18"/>
      <c r="D71" s="18"/>
      <c r="E71" s="18"/>
      <c r="F71" s="18"/>
      <c r="G71" s="18"/>
    </row>
    <row r="72" customFormat="false" ht="15" hidden="false" customHeight="true" outlineLevel="0" collapsed="false">
      <c r="A72" s="7" t="s">
        <v>754</v>
      </c>
      <c r="B72" s="7" t="s">
        <v>755</v>
      </c>
      <c r="C72" s="7"/>
      <c r="D72" s="7"/>
      <c r="E72" s="7"/>
      <c r="F72" s="7"/>
      <c r="G72" s="7"/>
    </row>
    <row r="73" customFormat="false" ht="15" hidden="false" customHeight="true" outlineLevel="0" collapsed="false">
      <c r="A73" s="18" t="s">
        <v>756</v>
      </c>
      <c r="B73" s="18" t="s">
        <v>400</v>
      </c>
      <c r="C73" s="18"/>
      <c r="D73" s="18"/>
      <c r="E73" s="18"/>
      <c r="F73" s="18"/>
      <c r="G73" s="18"/>
    </row>
    <row r="75" customFormat="false" ht="18" hidden="false" customHeight="true" outlineLevel="0" collapsed="false">
      <c r="A75" s="3" t="s">
        <v>572</v>
      </c>
      <c r="B75" s="4"/>
      <c r="C75" s="4"/>
      <c r="D75" s="4"/>
      <c r="E75" s="4"/>
      <c r="F75" s="4"/>
      <c r="G75" s="4"/>
    </row>
    <row r="76" customFormat="false" ht="15" hidden="false" customHeight="true" outlineLevel="0" collapsed="false">
      <c r="A76" s="22" t="s">
        <v>573</v>
      </c>
      <c r="B76" s="63" t="s">
        <v>745</v>
      </c>
      <c r="C76" s="63"/>
      <c r="D76" s="63"/>
      <c r="E76" s="7" t="s">
        <v>575</v>
      </c>
      <c r="F76" s="7"/>
      <c r="G76" s="7"/>
    </row>
    <row r="77" customFormat="false" ht="15" hidden="false" customHeight="true" outlineLevel="0" collapsed="false">
      <c r="A77" s="64" t="s">
        <v>576</v>
      </c>
      <c r="B77" s="65" t="s">
        <v>757</v>
      </c>
      <c r="C77" s="65"/>
      <c r="D77" s="65"/>
      <c r="E77" s="18" t="s">
        <v>578</v>
      </c>
      <c r="F77" s="18"/>
      <c r="G77" s="18"/>
    </row>
    <row r="78" customFormat="false" ht="35.05" hidden="false" customHeight="true" outlineLevel="0" collapsed="false">
      <c r="A78" s="22" t="s">
        <v>579</v>
      </c>
      <c r="B78" s="63" t="s">
        <v>758</v>
      </c>
      <c r="C78" s="63"/>
      <c r="D78" s="63"/>
      <c r="E78" s="7" t="s">
        <v>581</v>
      </c>
      <c r="F78" s="7"/>
      <c r="G78" s="7"/>
    </row>
    <row r="79" customFormat="false" ht="15" hidden="false" customHeight="true" outlineLevel="0" collapsed="false">
      <c r="A79" s="64" t="s">
        <v>582</v>
      </c>
      <c r="B79" s="65" t="s">
        <v>706</v>
      </c>
      <c r="C79" s="65"/>
      <c r="D79" s="65"/>
      <c r="E79" s="18" t="s">
        <v>583</v>
      </c>
      <c r="F79" s="18"/>
      <c r="G79" s="18"/>
    </row>
    <row r="80" customFormat="false" ht="15" hidden="false" customHeight="true" outlineLevel="0" collapsed="false">
      <c r="A80" s="22" t="s">
        <v>584</v>
      </c>
      <c r="B80" s="63" t="s">
        <v>759</v>
      </c>
      <c r="C80" s="63"/>
      <c r="D80" s="63"/>
      <c r="E80" s="7" t="s">
        <v>586</v>
      </c>
      <c r="F80" s="7"/>
      <c r="G80" s="7"/>
    </row>
    <row r="81" customFormat="false" ht="23.85" hidden="false" customHeight="true" outlineLevel="0" collapsed="false">
      <c r="A81" s="64" t="s">
        <v>587</v>
      </c>
      <c r="B81" s="65" t="s">
        <v>760</v>
      </c>
      <c r="C81" s="65"/>
      <c r="D81" s="65"/>
      <c r="E81" s="18" t="s">
        <v>589</v>
      </c>
      <c r="F81" s="18"/>
      <c r="G81" s="18"/>
    </row>
  </sheetData>
  <mergeCells count="69">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A48:G48"/>
    <mergeCell ref="B52:C52"/>
    <mergeCell ref="B53:C53"/>
    <mergeCell ref="B57:D57"/>
    <mergeCell ref="B58:D58"/>
    <mergeCell ref="B59:D59"/>
    <mergeCell ref="B60:D60"/>
    <mergeCell ref="B61:D61"/>
    <mergeCell ref="B62:D62"/>
    <mergeCell ref="B63:D63"/>
    <mergeCell ref="B64:D64"/>
    <mergeCell ref="B65:D65"/>
    <mergeCell ref="B66:D66"/>
    <mergeCell ref="A67:G67"/>
    <mergeCell ref="B70:G70"/>
    <mergeCell ref="B71:G71"/>
    <mergeCell ref="B72:G72"/>
    <mergeCell ref="B73:G73"/>
    <mergeCell ref="B76:D76"/>
    <mergeCell ref="E76:G76"/>
    <mergeCell ref="B77:D77"/>
    <mergeCell ref="E77:G77"/>
    <mergeCell ref="B78:D78"/>
    <mergeCell ref="E78:G78"/>
    <mergeCell ref="B79:D79"/>
    <mergeCell ref="E79:G79"/>
    <mergeCell ref="B80:D80"/>
    <mergeCell ref="E80:G80"/>
    <mergeCell ref="B81:D81"/>
    <mergeCell ref="E81:G81"/>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57:B66" type="list">
      <formula1>"Met,Partial,Not started,Not met,Not applicable"</formula1>
      <formula2>0</formula2>
    </dataValidation>
    <dataValidation allowBlank="true" error="Pick a value from the list." errorStyle="stop" operator="between" showDropDown="false" showErrorMessage="false" showInputMessage="false" sqref="B44:C47"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761</v>
      </c>
      <c r="B1" s="1"/>
      <c r="C1" s="1"/>
      <c r="D1" s="1"/>
      <c r="E1" s="1"/>
      <c r="F1" s="1"/>
      <c r="G1" s="1"/>
    </row>
    <row r="2" customFormat="false" ht="15" hidden="false" customHeight="false" outlineLevel="0" collapsed="false">
      <c r="A2" s="2" t="s">
        <v>452</v>
      </c>
      <c r="B2" s="2"/>
      <c r="C2" s="2"/>
      <c r="D2" s="2"/>
      <c r="E2" s="2"/>
      <c r="F2" s="2"/>
      <c r="G2" s="2"/>
    </row>
    <row r="4" customFormat="false" ht="18" hidden="false" customHeight="true" outlineLevel="0" collapsed="false">
      <c r="A4" s="3" t="s">
        <v>453</v>
      </c>
      <c r="B4" s="4"/>
      <c r="C4" s="4"/>
      <c r="D4" s="4"/>
      <c r="E4" s="4"/>
      <c r="F4" s="4"/>
      <c r="G4" s="4"/>
    </row>
    <row r="5" customFormat="false" ht="15" hidden="false" customHeight="true" outlineLevel="0" collapsed="false">
      <c r="A5" s="22" t="s">
        <v>454</v>
      </c>
      <c r="B5" s="63" t="s">
        <v>248</v>
      </c>
      <c r="C5" s="63"/>
      <c r="D5" s="63"/>
      <c r="E5" s="7"/>
      <c r="F5" s="7"/>
      <c r="G5" s="7"/>
    </row>
    <row r="6" customFormat="false" ht="15" hidden="false" customHeight="true" outlineLevel="0" collapsed="false">
      <c r="A6" s="64" t="s">
        <v>455</v>
      </c>
      <c r="B6" s="65" t="s">
        <v>762</v>
      </c>
      <c r="C6" s="65"/>
      <c r="D6" s="65"/>
      <c r="E6" s="18" t="s">
        <v>457</v>
      </c>
      <c r="F6" s="18"/>
      <c r="G6" s="18"/>
    </row>
    <row r="7" customFormat="false" ht="15" hidden="false" customHeight="true" outlineLevel="0" collapsed="false">
      <c r="A7" s="22" t="s">
        <v>458</v>
      </c>
      <c r="B7" s="63" t="s">
        <v>763</v>
      </c>
      <c r="C7" s="63"/>
      <c r="D7" s="63"/>
      <c r="E7" s="7" t="s">
        <v>460</v>
      </c>
      <c r="F7" s="7"/>
      <c r="G7" s="7"/>
    </row>
    <row r="8" customFormat="false" ht="15" hidden="false" customHeight="true" outlineLevel="0" collapsed="false">
      <c r="A8" s="64" t="s">
        <v>461</v>
      </c>
      <c r="B8" s="77" t="s">
        <v>689</v>
      </c>
      <c r="C8" s="77"/>
      <c r="D8" s="77"/>
      <c r="E8" s="18" t="s">
        <v>460</v>
      </c>
      <c r="F8" s="18"/>
      <c r="G8" s="18"/>
    </row>
    <row r="9" customFormat="false" ht="15" hidden="false" customHeight="true" outlineLevel="0" collapsed="false">
      <c r="A9" s="22" t="s">
        <v>463</v>
      </c>
      <c r="B9" s="77" t="s">
        <v>689</v>
      </c>
      <c r="C9" s="77"/>
      <c r="D9" s="77"/>
      <c r="E9" s="7" t="s">
        <v>460</v>
      </c>
      <c r="F9" s="7"/>
      <c r="G9" s="7"/>
    </row>
    <row r="10" customFormat="false" ht="15" hidden="false" customHeight="false" outlineLevel="0" collapsed="false">
      <c r="A10" s="64" t="s">
        <v>237</v>
      </c>
      <c r="B10" s="66"/>
      <c r="C10" s="66"/>
      <c r="D10" s="66"/>
      <c r="E10" s="18"/>
      <c r="F10" s="18"/>
      <c r="G10" s="18"/>
    </row>
    <row r="11" customFormat="false" ht="15" hidden="false" customHeight="false" outlineLevel="0" collapsed="false">
      <c r="A11" s="22" t="s">
        <v>466</v>
      </c>
      <c r="B11" s="63"/>
      <c r="C11" s="63"/>
      <c r="D11" s="63"/>
      <c r="E11" s="7"/>
      <c r="F11" s="7"/>
      <c r="G11" s="7"/>
    </row>
    <row r="12" customFormat="false" ht="15" hidden="false" customHeight="true" outlineLevel="0" collapsed="false">
      <c r="A12" s="64" t="s">
        <v>468</v>
      </c>
      <c r="B12" s="65" t="s">
        <v>764</v>
      </c>
      <c r="C12" s="65"/>
      <c r="D12" s="65"/>
      <c r="E12" s="18"/>
      <c r="F12" s="18"/>
      <c r="G12" s="18"/>
    </row>
    <row r="13" customFormat="false" ht="23.85" hidden="false" customHeight="true" outlineLevel="0" collapsed="false">
      <c r="A13" s="22" t="s">
        <v>470</v>
      </c>
      <c r="B13" s="63" t="s">
        <v>765</v>
      </c>
      <c r="C13" s="63"/>
      <c r="D13" s="63"/>
      <c r="E13" s="7"/>
      <c r="F13" s="7"/>
      <c r="G13" s="7"/>
    </row>
    <row r="14" customFormat="false" ht="15" hidden="false" customHeight="true" outlineLevel="0" collapsed="false">
      <c r="A14" s="64" t="s">
        <v>243</v>
      </c>
      <c r="B14" s="65" t="s">
        <v>273</v>
      </c>
      <c r="C14" s="65"/>
      <c r="D14" s="65"/>
      <c r="E14" s="18" t="s">
        <v>472</v>
      </c>
      <c r="F14" s="18"/>
      <c r="G14" s="18"/>
    </row>
    <row r="15" customFormat="false" ht="15" hidden="false" customHeight="true" outlineLevel="0" collapsed="false">
      <c r="A15" s="22" t="s">
        <v>473</v>
      </c>
      <c r="B15" s="63" t="s">
        <v>766</v>
      </c>
      <c r="C15" s="63"/>
      <c r="D15" s="63"/>
      <c r="E15" s="7" t="s">
        <v>475</v>
      </c>
      <c r="F15" s="7"/>
      <c r="G15" s="7"/>
    </row>
    <row r="17" customFormat="false" ht="18" hidden="false" customHeight="true" outlineLevel="0" collapsed="false">
      <c r="A17" s="3" t="s">
        <v>476</v>
      </c>
      <c r="B17" s="4"/>
      <c r="C17" s="4"/>
      <c r="D17" s="4"/>
      <c r="E17" s="4"/>
      <c r="F17" s="4"/>
      <c r="G17" s="4"/>
    </row>
    <row r="18" customFormat="false" ht="15" hidden="false" customHeight="false" outlineLevel="0" collapsed="false">
      <c r="A18" s="2" t="s">
        <v>477</v>
      </c>
      <c r="B18" s="2"/>
      <c r="C18" s="2"/>
      <c r="D18" s="2"/>
      <c r="E18" s="2"/>
      <c r="F18" s="2"/>
      <c r="G18" s="2"/>
    </row>
    <row r="19" customFormat="false" ht="30" hidden="false" customHeight="true" outlineLevel="0" collapsed="false">
      <c r="A19" s="6" t="s">
        <v>165</v>
      </c>
      <c r="B19" s="6" t="s">
        <v>478</v>
      </c>
      <c r="C19" s="6" t="s">
        <v>166</v>
      </c>
      <c r="D19" s="6" t="s">
        <v>479</v>
      </c>
      <c r="E19" s="6" t="s">
        <v>480</v>
      </c>
      <c r="F19" s="6" t="s">
        <v>284</v>
      </c>
      <c r="G19" s="6" t="s">
        <v>481</v>
      </c>
    </row>
    <row r="20" customFormat="false" ht="30" hidden="false" customHeight="true" outlineLevel="0" collapsed="false">
      <c r="A20" s="7" t="s">
        <v>168</v>
      </c>
      <c r="B20" s="78"/>
      <c r="C20" s="68" t="n">
        <f aca="false">'01 Scoring Model'!$B$6</f>
        <v>0.1</v>
      </c>
      <c r="D20" s="69" t="str">
        <f aca="false">IF(B20="","",B20*C20)</f>
        <v/>
      </c>
      <c r="E20" s="7"/>
      <c r="F20" s="7"/>
      <c r="G20" s="7"/>
    </row>
    <row r="21" customFormat="false" ht="30" hidden="false" customHeight="true" outlineLevel="0" collapsed="false">
      <c r="A21" s="18" t="s">
        <v>170</v>
      </c>
      <c r="B21" s="78"/>
      <c r="C21" s="71" t="n">
        <f aca="false">'01 Scoring Model'!$B$7</f>
        <v>0.35</v>
      </c>
      <c r="D21" s="72" t="str">
        <f aca="false">IF(B21="","",B21*C21)</f>
        <v/>
      </c>
      <c r="E21" s="18"/>
      <c r="F21" s="18"/>
      <c r="G21" s="18"/>
    </row>
    <row r="22" customFormat="false" ht="30" hidden="false" customHeight="true" outlineLevel="0" collapsed="false">
      <c r="A22" s="7" t="s">
        <v>172</v>
      </c>
      <c r="B22" s="78"/>
      <c r="C22" s="68" t="n">
        <f aca="false">'01 Scoring Model'!$B$8</f>
        <v>0.15</v>
      </c>
      <c r="D22" s="69" t="str">
        <f aca="false">IF(B22="","",B22*C22)</f>
        <v/>
      </c>
      <c r="E22" s="7"/>
      <c r="F22" s="7"/>
      <c r="G22" s="7"/>
    </row>
    <row r="23" customFormat="false" ht="30" hidden="false" customHeight="true" outlineLevel="0" collapsed="false">
      <c r="A23" s="18" t="s">
        <v>174</v>
      </c>
      <c r="B23" s="78"/>
      <c r="C23" s="71" t="n">
        <f aca="false">'01 Scoring Model'!$B$9</f>
        <v>0.1</v>
      </c>
      <c r="D23" s="72" t="str">
        <f aca="false">IF(B23="","",B23*C23)</f>
        <v/>
      </c>
      <c r="E23" s="18"/>
      <c r="F23" s="18"/>
      <c r="G23" s="18"/>
    </row>
    <row r="24" customFormat="false" ht="30" hidden="false" customHeight="true" outlineLevel="0" collapsed="false">
      <c r="A24" s="7" t="s">
        <v>176</v>
      </c>
      <c r="B24" s="78"/>
      <c r="C24" s="68" t="n">
        <f aca="false">'01 Scoring Model'!$B$10</f>
        <v>0.05</v>
      </c>
      <c r="D24" s="69" t="str">
        <f aca="false">IF(B24="","",B24*C24)</f>
        <v/>
      </c>
      <c r="E24" s="7"/>
      <c r="F24" s="7"/>
      <c r="G24" s="7"/>
    </row>
    <row r="25" customFormat="false" ht="30" hidden="false" customHeight="true" outlineLevel="0" collapsed="false">
      <c r="A25" s="18" t="s">
        <v>178</v>
      </c>
      <c r="B25" s="78"/>
      <c r="C25" s="71" t="n">
        <f aca="false">'01 Scoring Model'!$B$11</f>
        <v>0.15</v>
      </c>
      <c r="D25" s="72" t="str">
        <f aca="false">IF(B25="","",B25*C25)</f>
        <v/>
      </c>
      <c r="E25" s="18"/>
      <c r="F25" s="18"/>
      <c r="G25" s="18"/>
    </row>
    <row r="26" customFormat="false" ht="30" hidden="false" customHeight="true" outlineLevel="0" collapsed="false">
      <c r="A26" s="7" t="s">
        <v>180</v>
      </c>
      <c r="B26" s="78"/>
      <c r="C26" s="68" t="n">
        <f aca="false">'01 Scoring Model'!$B$12</f>
        <v>0.1</v>
      </c>
      <c r="D26" s="69" t="str">
        <f aca="false">IF(B26="","",B26*C26)</f>
        <v/>
      </c>
      <c r="E26" s="7"/>
      <c r="F26" s="7"/>
      <c r="G26" s="7"/>
    </row>
    <row r="27" customFormat="false" ht="15" hidden="false" customHeight="true" outlineLevel="0" collapsed="false">
      <c r="A27" s="40" t="s">
        <v>498</v>
      </c>
      <c r="B27" s="42"/>
      <c r="C27" s="42"/>
      <c r="D27" s="73" t="str">
        <f aca="false">IF(COUNT(B20:B26)=0,"",ROUND(SUM(D20:D26),2))</f>
        <v/>
      </c>
      <c r="E27" s="40" t="s">
        <v>499</v>
      </c>
      <c r="F27" s="40"/>
      <c r="G27" s="40"/>
    </row>
    <row r="29" customFormat="false" ht="18" hidden="false" customHeight="true" outlineLevel="0" collapsed="false">
      <c r="A29" s="3" t="s">
        <v>500</v>
      </c>
      <c r="B29" s="4"/>
      <c r="C29" s="4"/>
      <c r="D29" s="4"/>
      <c r="E29" s="4"/>
      <c r="F29" s="4"/>
      <c r="G29" s="4"/>
    </row>
    <row r="30" customFormat="false" ht="30" hidden="false" customHeight="true" outlineLevel="0" collapsed="false">
      <c r="A30" s="6" t="s">
        <v>501</v>
      </c>
      <c r="B30" s="6"/>
      <c r="C30" s="6"/>
      <c r="D30" s="6"/>
      <c r="E30" s="6" t="s">
        <v>502</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509</v>
      </c>
      <c r="B36" s="4"/>
      <c r="C36" s="4"/>
      <c r="D36" s="4"/>
      <c r="E36" s="4"/>
      <c r="F36" s="4"/>
      <c r="G36" s="4"/>
    </row>
    <row r="37" customFormat="false" ht="30" hidden="false" customHeight="true" outlineLevel="0" collapsed="false">
      <c r="A37" s="6" t="s">
        <v>281</v>
      </c>
      <c r="B37" s="6" t="s">
        <v>510</v>
      </c>
      <c r="C37" s="6"/>
      <c r="D37" s="6"/>
      <c r="E37" s="6" t="s">
        <v>511</v>
      </c>
      <c r="F37" s="6" t="s">
        <v>284</v>
      </c>
      <c r="G37" s="6" t="s">
        <v>512</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519</v>
      </c>
      <c r="B43" s="4"/>
      <c r="C43" s="4"/>
      <c r="D43" s="4"/>
      <c r="E43" s="4"/>
      <c r="F43" s="4"/>
      <c r="G43" s="4"/>
    </row>
    <row r="44" customFormat="false" ht="30" hidden="false" customHeight="true" outlineLevel="0" collapsed="false">
      <c r="A44" s="6" t="s">
        <v>311</v>
      </c>
      <c r="B44" s="6" t="s">
        <v>312</v>
      </c>
      <c r="C44" s="6" t="s">
        <v>313</v>
      </c>
      <c r="D44" s="6" t="s">
        <v>314</v>
      </c>
      <c r="E44" s="6" t="s">
        <v>315</v>
      </c>
      <c r="F44" s="6" t="s">
        <v>284</v>
      </c>
      <c r="G44" s="6" t="s">
        <v>520</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4"/>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4"/>
      <c r="E48" s="18"/>
      <c r="F48" s="18"/>
      <c r="G48" s="18"/>
    </row>
    <row r="49" customFormat="false" ht="15" hidden="false" customHeight="false" outlineLevel="0" collapsed="false">
      <c r="A49" s="2" t="s">
        <v>522</v>
      </c>
      <c r="B49" s="2"/>
      <c r="C49" s="2"/>
      <c r="D49" s="2"/>
      <c r="E49" s="2"/>
      <c r="F49" s="2"/>
      <c r="G49" s="2"/>
    </row>
    <row r="51" customFormat="false" ht="18" hidden="false" customHeight="true" outlineLevel="0" collapsed="false">
      <c r="A51" s="3" t="s">
        <v>523</v>
      </c>
      <c r="B51" s="4"/>
      <c r="C51" s="4"/>
      <c r="D51" s="4"/>
      <c r="E51" s="4"/>
      <c r="F51" s="4"/>
      <c r="G51" s="4"/>
    </row>
    <row r="52" customFormat="false" ht="30" hidden="false" customHeight="true" outlineLevel="0" collapsed="false">
      <c r="A52" s="6" t="s">
        <v>524</v>
      </c>
      <c r="B52" s="6" t="s">
        <v>525</v>
      </c>
      <c r="C52" s="6"/>
      <c r="D52" s="6" t="s">
        <v>526</v>
      </c>
      <c r="E52" s="6" t="s">
        <v>527</v>
      </c>
      <c r="F52" s="6" t="s">
        <v>528</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537</v>
      </c>
      <c r="B58" s="4"/>
      <c r="C58" s="4"/>
      <c r="D58" s="4"/>
      <c r="E58" s="4"/>
      <c r="F58" s="4"/>
      <c r="G58" s="4"/>
    </row>
    <row r="59" customFormat="false" ht="30" hidden="false" customHeight="true" outlineLevel="0" collapsed="false">
      <c r="A59" s="6" t="s">
        <v>538</v>
      </c>
      <c r="B59" s="6" t="s">
        <v>115</v>
      </c>
      <c r="C59" s="6"/>
      <c r="D59" s="6"/>
      <c r="E59" s="6" t="s">
        <v>539</v>
      </c>
      <c r="F59" s="6" t="s">
        <v>540</v>
      </c>
      <c r="G59" s="6" t="s">
        <v>541</v>
      </c>
    </row>
    <row r="60" customFormat="false" ht="15" hidden="false" customHeight="false" outlineLevel="0" collapsed="false">
      <c r="A60" s="7" t="s">
        <v>542</v>
      </c>
      <c r="B60" s="75" t="s">
        <v>548</v>
      </c>
      <c r="C60" s="75"/>
      <c r="D60" s="75"/>
      <c r="E60" s="7"/>
      <c r="F60" s="7"/>
      <c r="G60" s="7"/>
    </row>
    <row r="61" customFormat="false" ht="15" hidden="false" customHeight="false" outlineLevel="0" collapsed="false">
      <c r="A61" s="18" t="s">
        <v>545</v>
      </c>
      <c r="B61" s="75" t="s">
        <v>548</v>
      </c>
      <c r="C61" s="75"/>
      <c r="D61" s="75"/>
      <c r="E61" s="18"/>
      <c r="F61" s="18"/>
      <c r="G61" s="18"/>
    </row>
    <row r="62" customFormat="false" ht="15" hidden="false" customHeight="false" outlineLevel="0" collapsed="false">
      <c r="A62" s="7" t="s">
        <v>547</v>
      </c>
      <c r="B62" s="75" t="s">
        <v>548</v>
      </c>
      <c r="C62" s="75"/>
      <c r="D62" s="75"/>
      <c r="E62" s="7"/>
      <c r="F62" s="7"/>
      <c r="G62" s="7"/>
    </row>
    <row r="63" customFormat="false" ht="23.85" hidden="false" customHeight="false" outlineLevel="0" collapsed="false">
      <c r="A63" s="18" t="s">
        <v>550</v>
      </c>
      <c r="B63" s="75" t="s">
        <v>548</v>
      </c>
      <c r="C63" s="75"/>
      <c r="D63" s="75"/>
      <c r="E63" s="18"/>
      <c r="F63" s="18"/>
      <c r="G63" s="18"/>
    </row>
    <row r="64" customFormat="false" ht="23.85" hidden="false" customHeight="false" outlineLevel="0" collapsed="false">
      <c r="A64" s="7" t="s">
        <v>553</v>
      </c>
      <c r="B64" s="75" t="s">
        <v>548</v>
      </c>
      <c r="C64" s="75"/>
      <c r="D64" s="75"/>
      <c r="E64" s="7"/>
      <c r="F64" s="7"/>
      <c r="G64" s="7"/>
    </row>
    <row r="65" customFormat="false" ht="15" hidden="false" customHeight="false" outlineLevel="0" collapsed="false">
      <c r="A65" s="18" t="s">
        <v>555</v>
      </c>
      <c r="B65" s="75" t="s">
        <v>548</v>
      </c>
      <c r="C65" s="75"/>
      <c r="D65" s="75"/>
      <c r="E65" s="18"/>
      <c r="F65" s="18"/>
      <c r="G65" s="18"/>
    </row>
    <row r="66" customFormat="false" ht="15" hidden="false" customHeight="false" outlineLevel="0" collapsed="false">
      <c r="A66" s="7" t="s">
        <v>558</v>
      </c>
      <c r="B66" s="75" t="s">
        <v>548</v>
      </c>
      <c r="C66" s="75"/>
      <c r="D66" s="75"/>
      <c r="E66" s="7"/>
      <c r="F66" s="7"/>
      <c r="G66" s="7"/>
    </row>
    <row r="67" customFormat="false" ht="15" hidden="false" customHeight="false" outlineLevel="0" collapsed="false">
      <c r="A67" s="18" t="s">
        <v>560</v>
      </c>
      <c r="B67" s="75" t="s">
        <v>548</v>
      </c>
      <c r="C67" s="75"/>
      <c r="D67" s="75"/>
      <c r="E67" s="18"/>
      <c r="F67" s="18"/>
      <c r="G67" s="18"/>
    </row>
    <row r="68" customFormat="false" ht="15" hidden="false" customHeight="false" outlineLevel="0" collapsed="false">
      <c r="A68" s="7" t="s">
        <v>562</v>
      </c>
      <c r="B68" s="75" t="s">
        <v>548</v>
      </c>
      <c r="C68" s="75"/>
      <c r="D68" s="75"/>
      <c r="E68" s="7"/>
      <c r="F68" s="7"/>
      <c r="G68" s="7"/>
    </row>
    <row r="69" customFormat="false" ht="23.85" hidden="false" customHeight="false" outlineLevel="0" collapsed="false">
      <c r="A69" s="18" t="s">
        <v>565</v>
      </c>
      <c r="B69" s="75" t="s">
        <v>548</v>
      </c>
      <c r="C69" s="75"/>
      <c r="D69" s="75"/>
      <c r="E69" s="18"/>
      <c r="F69" s="18"/>
      <c r="G69" s="18"/>
    </row>
    <row r="70" customFormat="false" ht="15" hidden="false" customHeight="false" outlineLevel="0" collapsed="false">
      <c r="A70" s="2" t="s">
        <v>567</v>
      </c>
      <c r="B70" s="2"/>
      <c r="C70" s="2"/>
      <c r="D70" s="2"/>
      <c r="E70" s="2"/>
      <c r="F70" s="2"/>
      <c r="G70" s="2"/>
    </row>
    <row r="72" customFormat="false" ht="18" hidden="false" customHeight="true" outlineLevel="0" collapsed="false">
      <c r="A72" s="3" t="s">
        <v>568</v>
      </c>
      <c r="B72" s="4"/>
      <c r="C72" s="4"/>
      <c r="D72" s="4"/>
      <c r="E72" s="4"/>
      <c r="F72" s="4"/>
      <c r="G72" s="4"/>
    </row>
    <row r="73" customFormat="false" ht="15" hidden="false" customHeight="true" outlineLevel="0" collapsed="false">
      <c r="A73" s="7" t="s">
        <v>569</v>
      </c>
      <c r="B73" s="7" t="s">
        <v>767</v>
      </c>
      <c r="C73" s="7"/>
      <c r="D73" s="7"/>
      <c r="E73" s="7"/>
      <c r="F73" s="7"/>
      <c r="G73" s="7"/>
    </row>
    <row r="74" customFormat="false" ht="15" hidden="false" customHeight="true" outlineLevel="0" collapsed="false">
      <c r="A74" s="18" t="s">
        <v>570</v>
      </c>
      <c r="B74" s="18" t="s">
        <v>768</v>
      </c>
      <c r="C74" s="18"/>
      <c r="D74" s="18"/>
      <c r="E74" s="18"/>
      <c r="F74" s="18"/>
      <c r="G74" s="18"/>
    </row>
    <row r="75" customFormat="false" ht="15" hidden="false" customHeight="true" outlineLevel="0" collapsed="false">
      <c r="A75" s="7" t="s">
        <v>754</v>
      </c>
      <c r="B75" s="7" t="s">
        <v>769</v>
      </c>
      <c r="C75" s="7"/>
      <c r="D75" s="7"/>
      <c r="E75" s="7"/>
      <c r="F75" s="7"/>
      <c r="G75" s="7"/>
    </row>
    <row r="77" customFormat="false" ht="18" hidden="false" customHeight="true" outlineLevel="0" collapsed="false">
      <c r="A77" s="3" t="s">
        <v>572</v>
      </c>
      <c r="B77" s="4"/>
      <c r="C77" s="4"/>
      <c r="D77" s="4"/>
      <c r="E77" s="4"/>
      <c r="F77" s="4"/>
      <c r="G77" s="4"/>
    </row>
    <row r="78" customFormat="false" ht="15" hidden="false" customHeight="true" outlineLevel="0" collapsed="false">
      <c r="A78" s="22" t="s">
        <v>573</v>
      </c>
      <c r="B78" s="77"/>
      <c r="C78" s="77"/>
      <c r="D78" s="77"/>
      <c r="E78" s="7" t="s">
        <v>575</v>
      </c>
      <c r="F78" s="7"/>
      <c r="G78" s="7"/>
    </row>
    <row r="79" customFormat="false" ht="15" hidden="false" customHeight="true" outlineLevel="0" collapsed="false">
      <c r="A79" s="64" t="s">
        <v>576</v>
      </c>
      <c r="B79" s="65"/>
      <c r="C79" s="65"/>
      <c r="D79" s="65"/>
      <c r="E79" s="18" t="s">
        <v>578</v>
      </c>
      <c r="F79" s="18"/>
      <c r="G79" s="18"/>
    </row>
    <row r="80" customFormat="false" ht="15" hidden="false" customHeight="true" outlineLevel="0" collapsed="false">
      <c r="A80" s="22" t="s">
        <v>579</v>
      </c>
      <c r="B80" s="63"/>
      <c r="C80" s="63"/>
      <c r="D80" s="63"/>
      <c r="E80" s="7" t="s">
        <v>581</v>
      </c>
      <c r="F80" s="7"/>
      <c r="G80" s="7"/>
    </row>
    <row r="81" customFormat="false" ht="15" hidden="false" customHeight="true" outlineLevel="0" collapsed="false">
      <c r="A81" s="64" t="s">
        <v>582</v>
      </c>
      <c r="B81" s="77"/>
      <c r="C81" s="77"/>
      <c r="D81" s="77"/>
      <c r="E81" s="18" t="s">
        <v>583</v>
      </c>
      <c r="F81" s="18"/>
      <c r="G81" s="18"/>
    </row>
    <row r="82" customFormat="false" ht="15" hidden="false" customHeight="true" outlineLevel="0" collapsed="false">
      <c r="A82" s="22" t="s">
        <v>584</v>
      </c>
      <c r="B82" s="63"/>
      <c r="C82" s="63"/>
      <c r="D82" s="63"/>
      <c r="E82" s="7" t="s">
        <v>586</v>
      </c>
      <c r="F82" s="7"/>
      <c r="G82" s="7"/>
    </row>
    <row r="83" customFormat="false" ht="15" hidden="false" customHeight="true" outlineLevel="0" collapsed="false">
      <c r="A83" s="64" t="s">
        <v>587</v>
      </c>
      <c r="B83" s="65"/>
      <c r="C83" s="65"/>
      <c r="D83" s="65"/>
      <c r="E83" s="18" t="s">
        <v>589</v>
      </c>
      <c r="F83" s="18"/>
      <c r="G83" s="18"/>
    </row>
  </sheetData>
  <mergeCells count="71">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8:D78"/>
    <mergeCell ref="E78:G78"/>
    <mergeCell ref="B79:D79"/>
    <mergeCell ref="E79:G79"/>
    <mergeCell ref="B80:D80"/>
    <mergeCell ref="E80:G80"/>
    <mergeCell ref="B81:D81"/>
    <mergeCell ref="E81:G81"/>
    <mergeCell ref="B82:D82"/>
    <mergeCell ref="E82:G82"/>
    <mergeCell ref="B83:D83"/>
    <mergeCell ref="E83:G83"/>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2026-10-27T13:56:36Z</dcterms:created>
  <dc:creator>openpyxl</dc:creator>
  <dc:description/>
  <dc:language>en-US</dc:language>
  <cp:lastModifiedBy/>
  <dcterms:modified xsi:type="dcterms:W3CDTF">2026-10-27T13:56:36Z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